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jce\Desktop\git\excelsono3\"/>
    </mc:Choice>
  </mc:AlternateContent>
  <bookViews>
    <workbookView xWindow="0" yWindow="0" windowWidth="28800" windowHeight="12480"/>
  </bookViews>
  <sheets>
    <sheet name="書き込み用" sheetId="7" r:id="rId1"/>
    <sheet name="書き込み用 (見本)" sheetId="6" r:id="rId2"/>
    <sheet name="年休管理簿" sheetId="1" r:id="rId3"/>
    <sheet name="Sheet2" sheetId="2" r:id="rId4"/>
    <sheet name="Sheet3" sheetId="3" r:id="rId5"/>
  </sheets>
  <functionGroups builtInGroupCount="18"/>
  <definedNames>
    <definedName name="_xlnm.Print_Area" localSheetId="0">書き込み用!$A$1:$BT$79</definedName>
    <definedName name="_xlnm.Print_Area" localSheetId="1">'書き込み用 (見本)'!$A$1:$BT$58</definedName>
    <definedName name="_xlnm.Print_Area" localSheetId="2">年休管理簿!$A$1:$X$36</definedName>
  </definedNames>
  <calcPr calcId="162913" refMode="R1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W10" i="7" l="1"/>
  <c r="D58" i="7" l="1"/>
  <c r="D56" i="7"/>
  <c r="D55" i="7"/>
  <c r="D53" i="7"/>
  <c r="S7" i="1" l="1"/>
  <c r="BR35" i="7"/>
  <c r="Z17" i="1" l="1"/>
  <c r="F19" i="1" l="1"/>
  <c r="G35" i="1" l="1"/>
  <c r="G39" i="1"/>
  <c r="G33" i="1"/>
  <c r="G31" i="1"/>
  <c r="G29" i="1"/>
  <c r="G27" i="1"/>
  <c r="G25" i="1"/>
  <c r="G23" i="1"/>
  <c r="G21" i="1"/>
  <c r="G19" i="1"/>
  <c r="G17" i="1"/>
  <c r="G15" i="1"/>
  <c r="G13" i="1"/>
  <c r="G11" i="1"/>
  <c r="G9" i="1"/>
  <c r="G7" i="1"/>
  <c r="F35" i="1"/>
  <c r="F39" i="1"/>
  <c r="F33" i="1"/>
  <c r="F31" i="1"/>
  <c r="F29" i="1"/>
  <c r="F27" i="1"/>
  <c r="F25" i="1"/>
  <c r="F23" i="1"/>
  <c r="F21" i="1"/>
  <c r="G37" i="1"/>
  <c r="F17" i="1"/>
  <c r="F15" i="1"/>
  <c r="F13" i="1"/>
  <c r="F11" i="1"/>
  <c r="F9" i="1"/>
  <c r="F7" i="1"/>
  <c r="F37" i="1"/>
  <c r="G5" i="1"/>
  <c r="F5" i="1"/>
  <c r="Z35" i="1" l="1"/>
  <c r="Z39" i="1"/>
  <c r="Z33" i="1"/>
  <c r="Z31" i="1"/>
  <c r="Z29" i="1"/>
  <c r="Z27" i="1"/>
  <c r="Z25" i="1"/>
  <c r="Z23" i="1"/>
  <c r="Z21" i="1"/>
  <c r="Z19" i="1"/>
  <c r="Z15" i="1"/>
  <c r="Z13" i="1"/>
  <c r="Z11" i="1"/>
  <c r="Z9" i="1"/>
  <c r="Z7" i="1"/>
  <c r="Z37" i="1"/>
  <c r="Z5" i="1"/>
  <c r="C35" i="1"/>
  <c r="B35" i="1"/>
  <c r="C39" i="1"/>
  <c r="B39" i="1"/>
  <c r="C33" i="1"/>
  <c r="B33" i="1"/>
  <c r="C31" i="1"/>
  <c r="B31" i="1"/>
  <c r="C29" i="1"/>
  <c r="B29" i="1"/>
  <c r="C27" i="1"/>
  <c r="B27" i="1"/>
  <c r="C25" i="1"/>
  <c r="B25" i="1"/>
  <c r="C23" i="1"/>
  <c r="B23" i="1"/>
  <c r="C21" i="1"/>
  <c r="B21" i="1"/>
  <c r="C19" i="1"/>
  <c r="B19" i="1"/>
  <c r="C17" i="1"/>
  <c r="B17" i="1"/>
  <c r="C15" i="1"/>
  <c r="B15" i="1"/>
  <c r="C13" i="1"/>
  <c r="B13" i="1"/>
  <c r="C11" i="1"/>
  <c r="B11" i="1"/>
  <c r="C9" i="1"/>
  <c r="B9" i="1"/>
  <c r="C7" i="1"/>
  <c r="B7" i="1"/>
  <c r="C37" i="1"/>
  <c r="B37" i="1"/>
  <c r="C5" i="1"/>
  <c r="B5" i="1"/>
  <c r="U35" i="1"/>
  <c r="T35" i="1"/>
  <c r="S35" i="1"/>
  <c r="R35" i="1"/>
  <c r="Q35" i="1"/>
  <c r="P35" i="1"/>
  <c r="O35" i="1"/>
  <c r="N35" i="1"/>
  <c r="M35" i="1"/>
  <c r="L35" i="1"/>
  <c r="K35" i="1"/>
  <c r="J35" i="1"/>
  <c r="U39" i="1"/>
  <c r="T39" i="1"/>
  <c r="S39" i="1"/>
  <c r="R39" i="1"/>
  <c r="Q39" i="1"/>
  <c r="P39" i="1"/>
  <c r="O39" i="1"/>
  <c r="N39" i="1"/>
  <c r="M39" i="1"/>
  <c r="L39" i="1"/>
  <c r="K39" i="1"/>
  <c r="J39" i="1"/>
  <c r="U33" i="1"/>
  <c r="T33" i="1"/>
  <c r="S33" i="1"/>
  <c r="R33" i="1"/>
  <c r="Q33" i="1"/>
  <c r="P33" i="1"/>
  <c r="O33" i="1"/>
  <c r="N33" i="1"/>
  <c r="M33" i="1"/>
  <c r="L33" i="1"/>
  <c r="K33" i="1"/>
  <c r="J33" i="1"/>
  <c r="U31" i="1"/>
  <c r="T31" i="1"/>
  <c r="S31" i="1"/>
  <c r="R31" i="1"/>
  <c r="Q31" i="1"/>
  <c r="P31" i="1"/>
  <c r="O31" i="1"/>
  <c r="N31" i="1"/>
  <c r="M31" i="1"/>
  <c r="L31" i="1"/>
  <c r="K31" i="1"/>
  <c r="J31" i="1"/>
  <c r="U29" i="1"/>
  <c r="T29" i="1"/>
  <c r="S29" i="1"/>
  <c r="R29" i="1"/>
  <c r="Q29" i="1"/>
  <c r="P29" i="1"/>
  <c r="O29" i="1"/>
  <c r="N29" i="1"/>
  <c r="M29" i="1"/>
  <c r="L29" i="1"/>
  <c r="K29" i="1"/>
  <c r="J29" i="1"/>
  <c r="U27" i="1"/>
  <c r="T27" i="1"/>
  <c r="S27" i="1"/>
  <c r="R27" i="1"/>
  <c r="Q27" i="1"/>
  <c r="P27" i="1"/>
  <c r="O27" i="1"/>
  <c r="N27" i="1"/>
  <c r="M27" i="1"/>
  <c r="L27" i="1"/>
  <c r="K27" i="1"/>
  <c r="J27" i="1"/>
  <c r="U25" i="1"/>
  <c r="T25" i="1"/>
  <c r="S25" i="1"/>
  <c r="R25" i="1"/>
  <c r="Q25" i="1"/>
  <c r="P25" i="1"/>
  <c r="O25" i="1"/>
  <c r="N25" i="1"/>
  <c r="M25" i="1"/>
  <c r="L25" i="1"/>
  <c r="K25" i="1"/>
  <c r="J25" i="1"/>
  <c r="U23" i="1"/>
  <c r="T23" i="1"/>
  <c r="S23" i="1"/>
  <c r="R23" i="1"/>
  <c r="Q23" i="1"/>
  <c r="P23" i="1"/>
  <c r="O23" i="1"/>
  <c r="N23" i="1"/>
  <c r="M23" i="1"/>
  <c r="L23" i="1"/>
  <c r="K23" i="1"/>
  <c r="J23" i="1"/>
  <c r="U21" i="1"/>
  <c r="T21" i="1"/>
  <c r="S21" i="1"/>
  <c r="R21" i="1"/>
  <c r="Q21" i="1"/>
  <c r="P21" i="1"/>
  <c r="O21" i="1"/>
  <c r="N21" i="1"/>
  <c r="M21" i="1"/>
  <c r="L21" i="1"/>
  <c r="K21" i="1"/>
  <c r="J21" i="1"/>
  <c r="U19" i="1"/>
  <c r="T19" i="1"/>
  <c r="S19" i="1"/>
  <c r="R19" i="1"/>
  <c r="Q19" i="1"/>
  <c r="P19" i="1"/>
  <c r="O19" i="1"/>
  <c r="N19" i="1"/>
  <c r="M19" i="1"/>
  <c r="L19" i="1"/>
  <c r="K19" i="1"/>
  <c r="J19" i="1"/>
  <c r="U17" i="1"/>
  <c r="T17" i="1"/>
  <c r="S17" i="1"/>
  <c r="R17" i="1"/>
  <c r="Q17" i="1"/>
  <c r="P17" i="1"/>
  <c r="O17" i="1"/>
  <c r="N17" i="1"/>
  <c r="M17" i="1"/>
  <c r="L17" i="1"/>
  <c r="K17" i="1"/>
  <c r="J17" i="1"/>
  <c r="U15" i="1"/>
  <c r="T15" i="1"/>
  <c r="S15" i="1"/>
  <c r="R15" i="1"/>
  <c r="Q15" i="1"/>
  <c r="P15" i="1"/>
  <c r="O15" i="1"/>
  <c r="N15" i="1"/>
  <c r="M15" i="1"/>
  <c r="L15" i="1"/>
  <c r="K15" i="1"/>
  <c r="J15" i="1"/>
  <c r="U13" i="1"/>
  <c r="T13" i="1"/>
  <c r="S13" i="1"/>
  <c r="R13" i="1"/>
  <c r="Q13" i="1"/>
  <c r="P13" i="1"/>
  <c r="O13" i="1"/>
  <c r="N13" i="1"/>
  <c r="M13" i="1"/>
  <c r="L13" i="1"/>
  <c r="K13" i="1"/>
  <c r="J13" i="1"/>
  <c r="U11" i="1"/>
  <c r="T11" i="1"/>
  <c r="S11" i="1"/>
  <c r="R11" i="1"/>
  <c r="Q11" i="1"/>
  <c r="P11" i="1"/>
  <c r="O11" i="1"/>
  <c r="N11" i="1"/>
  <c r="M11" i="1"/>
  <c r="L11" i="1"/>
  <c r="K11" i="1"/>
  <c r="J11" i="1"/>
  <c r="U9" i="1"/>
  <c r="T9" i="1"/>
  <c r="S9" i="1"/>
  <c r="R9" i="1"/>
  <c r="Q9" i="1"/>
  <c r="P9" i="1"/>
  <c r="O9" i="1"/>
  <c r="N9" i="1"/>
  <c r="M9" i="1"/>
  <c r="L9" i="1"/>
  <c r="K9" i="1"/>
  <c r="J9" i="1"/>
  <c r="U7" i="1"/>
  <c r="T7" i="1"/>
  <c r="R7" i="1"/>
  <c r="Q7" i="1"/>
  <c r="P7" i="1"/>
  <c r="O7" i="1"/>
  <c r="N7" i="1"/>
  <c r="M7" i="1"/>
  <c r="L7" i="1"/>
  <c r="K7" i="1"/>
  <c r="J7" i="1"/>
  <c r="T37" i="1"/>
  <c r="S37" i="1"/>
  <c r="R37" i="1"/>
  <c r="Q37" i="1"/>
  <c r="P37" i="1"/>
  <c r="O37" i="1"/>
  <c r="N37" i="1"/>
  <c r="M37" i="1"/>
  <c r="L37" i="1"/>
  <c r="K37" i="1"/>
  <c r="J37" i="1"/>
  <c r="U5" i="1"/>
  <c r="T5" i="1"/>
  <c r="S5" i="1"/>
  <c r="R5" i="1"/>
  <c r="Q5" i="1"/>
  <c r="P5" i="1"/>
  <c r="O5" i="1"/>
  <c r="N5" i="1"/>
  <c r="M5" i="1"/>
  <c r="L5" i="1"/>
  <c r="K5" i="1"/>
  <c r="J5" i="1"/>
  <c r="BM83" i="7" l="1"/>
  <c r="BQ83" i="7" s="1"/>
  <c r="BH83" i="7"/>
  <c r="BI83" i="7" s="1"/>
  <c r="BC83" i="7"/>
  <c r="BG83" i="7" s="1"/>
  <c r="AX83" i="7"/>
  <c r="BA83" i="7" s="1"/>
  <c r="AS83" i="7"/>
  <c r="AW83" i="7" s="1"/>
  <c r="AN83" i="7"/>
  <c r="AR83" i="7" s="1"/>
  <c r="AI83" i="7"/>
  <c r="AK83" i="7" s="1"/>
  <c r="AD83" i="7"/>
  <c r="AH83" i="7" s="1"/>
  <c r="Y83" i="7"/>
  <c r="AC83" i="7" s="1"/>
  <c r="T83" i="7"/>
  <c r="U83" i="7" s="1"/>
  <c r="O83" i="7"/>
  <c r="S83" i="7" s="1"/>
  <c r="J83" i="7"/>
  <c r="M83" i="7" s="1"/>
  <c r="BV79" i="7"/>
  <c r="BR79" i="7"/>
  <c r="D79" i="7"/>
  <c r="BR77" i="7"/>
  <c r="H77" i="7"/>
  <c r="BS77" i="7" s="1"/>
  <c r="D77" i="7"/>
  <c r="BV76" i="7"/>
  <c r="BR76" i="7"/>
  <c r="D76" i="7"/>
  <c r="BR74" i="7"/>
  <c r="BW76" i="7" s="1"/>
  <c r="H74" i="7"/>
  <c r="BS74" i="7" s="1"/>
  <c r="D74" i="7"/>
  <c r="BV73" i="7"/>
  <c r="BR73" i="7"/>
  <c r="D73" i="7"/>
  <c r="BR71" i="7"/>
  <c r="H71" i="7"/>
  <c r="BS71" i="7" s="1"/>
  <c r="D71" i="7"/>
  <c r="BV70" i="7"/>
  <c r="BR70" i="7"/>
  <c r="D70" i="7"/>
  <c r="BR68" i="7"/>
  <c r="H68" i="7"/>
  <c r="D68" i="7"/>
  <c r="BV67" i="7"/>
  <c r="BR67" i="7"/>
  <c r="D67" i="7"/>
  <c r="BR65" i="7"/>
  <c r="H65" i="7"/>
  <c r="D65" i="7"/>
  <c r="BV64" i="7"/>
  <c r="BR64" i="7"/>
  <c r="D64" i="7"/>
  <c r="BR62" i="7"/>
  <c r="H62" i="7"/>
  <c r="D62" i="7"/>
  <c r="BV61" i="7"/>
  <c r="BR61" i="7"/>
  <c r="D61" i="7"/>
  <c r="BR59" i="7"/>
  <c r="H59" i="7"/>
  <c r="BS59" i="7" s="1"/>
  <c r="D59" i="7"/>
  <c r="BV52" i="7"/>
  <c r="BR52" i="7"/>
  <c r="D52" i="7"/>
  <c r="BR50" i="7"/>
  <c r="H50" i="7"/>
  <c r="BS50" i="7" s="1"/>
  <c r="D50" i="7"/>
  <c r="BV58" i="7"/>
  <c r="BR58" i="7"/>
  <c r="BR56" i="7"/>
  <c r="H56" i="7"/>
  <c r="BS56" i="7" s="1"/>
  <c r="BV49" i="7"/>
  <c r="BR49" i="7"/>
  <c r="D49" i="7"/>
  <c r="BR47" i="7"/>
  <c r="H47" i="7"/>
  <c r="BS47" i="7" s="1"/>
  <c r="D47" i="7"/>
  <c r="BV46" i="7"/>
  <c r="BR46" i="7"/>
  <c r="D46" i="7"/>
  <c r="BR44" i="7"/>
  <c r="H44" i="7"/>
  <c r="BS44" i="7" s="1"/>
  <c r="D44" i="7"/>
  <c r="BV43" i="7"/>
  <c r="BR43" i="7"/>
  <c r="D43" i="7"/>
  <c r="BR41" i="7"/>
  <c r="H41" i="7"/>
  <c r="BS41" i="7" s="1"/>
  <c r="D41" i="7"/>
  <c r="BV40" i="7"/>
  <c r="BR40" i="7"/>
  <c r="D40" i="7"/>
  <c r="BR38" i="7"/>
  <c r="H38" i="7"/>
  <c r="BS38" i="7" s="1"/>
  <c r="D38" i="7"/>
  <c r="BV37" i="7"/>
  <c r="BR37" i="7"/>
  <c r="D37" i="7"/>
  <c r="H35" i="7"/>
  <c r="BS35" i="7" s="1"/>
  <c r="D35" i="7"/>
  <c r="BV34" i="7"/>
  <c r="BR34" i="7"/>
  <c r="D34" i="7"/>
  <c r="BR32" i="7"/>
  <c r="H32" i="7"/>
  <c r="BS32" i="7" s="1"/>
  <c r="D32" i="7"/>
  <c r="BV31" i="7"/>
  <c r="BR31" i="7"/>
  <c r="D31" i="7"/>
  <c r="BR29" i="7"/>
  <c r="H29" i="7"/>
  <c r="BS29" i="7" s="1"/>
  <c r="D29" i="7"/>
  <c r="BV28" i="7"/>
  <c r="BR28" i="7"/>
  <c r="D28" i="7"/>
  <c r="BR26" i="7"/>
  <c r="H26" i="7"/>
  <c r="BS26" i="7" s="1"/>
  <c r="D26" i="7"/>
  <c r="BV25" i="7"/>
  <c r="BR25" i="7"/>
  <c r="D25" i="7"/>
  <c r="BR23" i="7"/>
  <c r="H23" i="7"/>
  <c r="BS23" i="7" s="1"/>
  <c r="D23" i="7"/>
  <c r="BV22" i="7"/>
  <c r="BR22" i="7"/>
  <c r="D22" i="7"/>
  <c r="BR20" i="7"/>
  <c r="H20" i="7"/>
  <c r="BS20" i="7" s="1"/>
  <c r="D20" i="7"/>
  <c r="BV19" i="7"/>
  <c r="BR19" i="7"/>
  <c r="D19" i="7"/>
  <c r="BR17" i="7"/>
  <c r="H17" i="7"/>
  <c r="BS17" i="7" s="1"/>
  <c r="D17" i="7"/>
  <c r="BV16" i="7"/>
  <c r="BR16" i="7"/>
  <c r="D16" i="7"/>
  <c r="BR14" i="7"/>
  <c r="H14" i="7"/>
  <c r="BS14" i="7" s="1"/>
  <c r="D14" i="7"/>
  <c r="BV13" i="7"/>
  <c r="BR13" i="7"/>
  <c r="D13" i="7"/>
  <c r="BR11" i="7"/>
  <c r="BW12" i="7" s="1"/>
  <c r="H11" i="7"/>
  <c r="BS11" i="7" s="1"/>
  <c r="D11" i="7"/>
  <c r="BV10" i="7"/>
  <c r="BR10" i="7"/>
  <c r="D10" i="7"/>
  <c r="BR8" i="7"/>
  <c r="H8" i="7"/>
  <c r="BS8" i="7" s="1"/>
  <c r="D8" i="7"/>
  <c r="BV55" i="7"/>
  <c r="BR55" i="7"/>
  <c r="BR53" i="7"/>
  <c r="H53" i="7"/>
  <c r="BS53" i="7" s="1"/>
  <c r="BV7" i="7"/>
  <c r="BR7" i="7"/>
  <c r="D7" i="7"/>
  <c r="BR5" i="7"/>
  <c r="H5" i="7"/>
  <c r="BS5" i="7" s="1"/>
  <c r="D5" i="7"/>
  <c r="BY1" i="7"/>
  <c r="BY2" i="7" s="1"/>
  <c r="BK3" i="7" s="1"/>
  <c r="BW13" i="7" l="1"/>
  <c r="BX13" i="7" s="1"/>
  <c r="BX10" i="7"/>
  <c r="BW37" i="7"/>
  <c r="BX37" i="7" s="1"/>
  <c r="BW7" i="7"/>
  <c r="BX7" i="7" s="1"/>
  <c r="BW16" i="7"/>
  <c r="BX16" i="7" s="1"/>
  <c r="BW31" i="7"/>
  <c r="BX31" i="7" s="1"/>
  <c r="BW34" i="7"/>
  <c r="BX34" i="7" s="1"/>
  <c r="BW49" i="7"/>
  <c r="BX49" i="7" s="1"/>
  <c r="BW52" i="7"/>
  <c r="BX52" i="7" s="1"/>
  <c r="BW58" i="7"/>
  <c r="BX58" i="7" s="1"/>
  <c r="BW55" i="7"/>
  <c r="BX55" i="7" s="1"/>
  <c r="BW46" i="7"/>
  <c r="BX46" i="7" s="1"/>
  <c r="BW67" i="7"/>
  <c r="BW73" i="7"/>
  <c r="BW79" i="7"/>
  <c r="BX79" i="7" s="1"/>
  <c r="W83" i="7"/>
  <c r="AT83" i="7"/>
  <c r="BJ83" i="7"/>
  <c r="AE83" i="7"/>
  <c r="BW19" i="7"/>
  <c r="BX19" i="7" s="1"/>
  <c r="BW25" i="7"/>
  <c r="BX25" i="7" s="1"/>
  <c r="N83" i="7"/>
  <c r="AL83" i="7"/>
  <c r="BW43" i="7"/>
  <c r="BX43" i="7" s="1"/>
  <c r="BW22" i="7"/>
  <c r="BX22" i="7" s="1"/>
  <c r="BW28" i="7"/>
  <c r="BX28" i="7" s="1"/>
  <c r="BW40" i="7"/>
  <c r="BX40" i="7" s="1"/>
  <c r="BW64" i="7"/>
  <c r="BX64" i="7" s="1"/>
  <c r="X83" i="7"/>
  <c r="AF83" i="7"/>
  <c r="AM83" i="7"/>
  <c r="AU83" i="7"/>
  <c r="BB83" i="7"/>
  <c r="BK83" i="7"/>
  <c r="BW61" i="7"/>
  <c r="BX61" i="7" s="1"/>
  <c r="BS62" i="7"/>
  <c r="BW70" i="7"/>
  <c r="BX70" i="7" s="1"/>
  <c r="AV83" i="7"/>
  <c r="BL83" i="7"/>
  <c r="BX67" i="7"/>
  <c r="BS68" i="7"/>
  <c r="V83" i="7"/>
  <c r="AJ83" i="7"/>
  <c r="BY3" i="7"/>
  <c r="BN3" i="7" s="1"/>
  <c r="BY4" i="7"/>
  <c r="BP3" i="7" s="1"/>
  <c r="BX73" i="7"/>
  <c r="BS65" i="7"/>
  <c r="BX76" i="7"/>
  <c r="P83" i="7"/>
  <c r="BD83" i="7"/>
  <c r="Q83" i="7"/>
  <c r="AG83" i="7"/>
  <c r="AO83" i="7"/>
  <c r="BE83" i="7"/>
  <c r="R83" i="7"/>
  <c r="Z83" i="7"/>
  <c r="AP83" i="7"/>
  <c r="BF83" i="7"/>
  <c r="BN83" i="7"/>
  <c r="K83" i="7"/>
  <c r="AA83" i="7"/>
  <c r="AQ83" i="7"/>
  <c r="AY83" i="7"/>
  <c r="BO83" i="7"/>
  <c r="L83" i="7"/>
  <c r="AB83" i="7"/>
  <c r="AZ83" i="7"/>
  <c r="BP83" i="7"/>
  <c r="BM62" i="6" l="1"/>
  <c r="BQ62" i="6" s="1"/>
  <c r="BH62" i="6"/>
  <c r="BI62" i="6" s="1"/>
  <c r="BC62" i="6"/>
  <c r="BG62" i="6" s="1"/>
  <c r="AX62" i="6"/>
  <c r="BA62" i="6" s="1"/>
  <c r="AS62" i="6"/>
  <c r="AW62" i="6" s="1"/>
  <c r="AN62" i="6"/>
  <c r="AR62" i="6" s="1"/>
  <c r="AI62" i="6"/>
  <c r="AM62" i="6" s="1"/>
  <c r="AD62" i="6"/>
  <c r="AH62" i="6" s="1"/>
  <c r="Y62" i="6"/>
  <c r="AC62" i="6" s="1"/>
  <c r="T62" i="6"/>
  <c r="O62" i="6"/>
  <c r="S62" i="6" s="1"/>
  <c r="J62" i="6"/>
  <c r="M62" i="6" s="1"/>
  <c r="BV58" i="6"/>
  <c r="BR58" i="6"/>
  <c r="D58" i="6"/>
  <c r="BR56" i="6"/>
  <c r="H56" i="6"/>
  <c r="BS56" i="6" s="1"/>
  <c r="D56" i="6"/>
  <c r="BV55" i="6"/>
  <c r="BR55" i="6"/>
  <c r="D55" i="6"/>
  <c r="BR53" i="6"/>
  <c r="H53" i="6"/>
  <c r="BS53" i="6" s="1"/>
  <c r="D53" i="6"/>
  <c r="BV52" i="6"/>
  <c r="BR52" i="6"/>
  <c r="D52" i="6"/>
  <c r="BR50" i="6"/>
  <c r="H50" i="6"/>
  <c r="BS50" i="6" s="1"/>
  <c r="D50" i="6"/>
  <c r="BV49" i="6"/>
  <c r="BR49" i="6"/>
  <c r="D49" i="6"/>
  <c r="BR47" i="6"/>
  <c r="H47" i="6"/>
  <c r="BS47" i="6" s="1"/>
  <c r="D47" i="6"/>
  <c r="BV46" i="6"/>
  <c r="BR46" i="6"/>
  <c r="D46" i="6"/>
  <c r="BR44" i="6"/>
  <c r="H44" i="6"/>
  <c r="BS44" i="6" s="1"/>
  <c r="D44" i="6"/>
  <c r="BV43" i="6"/>
  <c r="BR43" i="6"/>
  <c r="D43" i="6"/>
  <c r="BR41" i="6"/>
  <c r="H41" i="6"/>
  <c r="BS41" i="6" s="1"/>
  <c r="D41" i="6"/>
  <c r="BV40" i="6"/>
  <c r="BR40" i="6"/>
  <c r="D40" i="6"/>
  <c r="BR38" i="6"/>
  <c r="BW40" i="6" s="1"/>
  <c r="H38" i="6"/>
  <c r="BS38" i="6" s="1"/>
  <c r="D38" i="6"/>
  <c r="BV37" i="6"/>
  <c r="BR37" i="6"/>
  <c r="D37" i="6"/>
  <c r="BR35" i="6"/>
  <c r="H35" i="6"/>
  <c r="BS35" i="6" s="1"/>
  <c r="D35" i="6"/>
  <c r="BV34" i="6"/>
  <c r="BR34" i="6"/>
  <c r="D34" i="6"/>
  <c r="BR32" i="6"/>
  <c r="BW34" i="6" s="1"/>
  <c r="H32" i="6"/>
  <c r="D32" i="6"/>
  <c r="BV31" i="6"/>
  <c r="BR31" i="6"/>
  <c r="D31" i="6"/>
  <c r="BR29" i="6"/>
  <c r="H29" i="6"/>
  <c r="BS29" i="6" s="1"/>
  <c r="D29" i="6"/>
  <c r="BV28" i="6"/>
  <c r="BR28" i="6"/>
  <c r="D28" i="6"/>
  <c r="BR26" i="6"/>
  <c r="BW28" i="6" s="1"/>
  <c r="H26" i="6"/>
  <c r="D26" i="6"/>
  <c r="BV25" i="6"/>
  <c r="BR25" i="6"/>
  <c r="D25" i="6"/>
  <c r="BR23" i="6"/>
  <c r="H23" i="6"/>
  <c r="BS23" i="6" s="1"/>
  <c r="D23" i="6"/>
  <c r="BV22" i="6"/>
  <c r="BR22" i="6"/>
  <c r="D22" i="6"/>
  <c r="BR20" i="6"/>
  <c r="BW22" i="6" s="1"/>
  <c r="H20" i="6"/>
  <c r="BS20" i="6" s="1"/>
  <c r="D20" i="6"/>
  <c r="BV19" i="6"/>
  <c r="BR19" i="6"/>
  <c r="D19" i="6"/>
  <c r="BR17" i="6"/>
  <c r="H17" i="6"/>
  <c r="BS17" i="6" s="1"/>
  <c r="D17" i="6"/>
  <c r="BV16" i="6"/>
  <c r="BR16" i="6"/>
  <c r="D16" i="6"/>
  <c r="BR14" i="6"/>
  <c r="H14" i="6"/>
  <c r="D14" i="6"/>
  <c r="BV13" i="6"/>
  <c r="BR13" i="6"/>
  <c r="D13" i="6"/>
  <c r="BR11" i="6"/>
  <c r="H11" i="6"/>
  <c r="BS11" i="6" s="1"/>
  <c r="D11" i="6"/>
  <c r="BV10" i="6"/>
  <c r="BR10" i="6"/>
  <c r="D10" i="6"/>
  <c r="BR8" i="6"/>
  <c r="H8" i="6"/>
  <c r="D8" i="6"/>
  <c r="BV7" i="6"/>
  <c r="BR7" i="6"/>
  <c r="D7" i="6"/>
  <c r="BR5" i="6"/>
  <c r="H5" i="6"/>
  <c r="BS5" i="6" s="1"/>
  <c r="D5" i="6"/>
  <c r="BY1" i="6"/>
  <c r="BY2" i="6" s="1"/>
  <c r="BK3" i="6" s="1"/>
  <c r="BW13" i="6" l="1"/>
  <c r="U62" i="6"/>
  <c r="V62" i="6"/>
  <c r="BW7" i="6"/>
  <c r="X62" i="6"/>
  <c r="L62" i="6"/>
  <c r="AJ62" i="6"/>
  <c r="BX7" i="6"/>
  <c r="BW25" i="6"/>
  <c r="BW31" i="6"/>
  <c r="BX31" i="6" s="1"/>
  <c r="BW37" i="6"/>
  <c r="AK62" i="6"/>
  <c r="AT62" i="6"/>
  <c r="BW10" i="6"/>
  <c r="AL62" i="6"/>
  <c r="AV62" i="6"/>
  <c r="BW16" i="6"/>
  <c r="BX16" i="6" s="1"/>
  <c r="BW19" i="6"/>
  <c r="BX19" i="6" s="1"/>
  <c r="BX34" i="6"/>
  <c r="BX37" i="6"/>
  <c r="N62" i="6"/>
  <c r="W62" i="6"/>
  <c r="AU62" i="6"/>
  <c r="AZ62" i="6"/>
  <c r="BJ62" i="6"/>
  <c r="BX13" i="6"/>
  <c r="BB62" i="6"/>
  <c r="BK62" i="6"/>
  <c r="BX10" i="6"/>
  <c r="BS14" i="6"/>
  <c r="BX22" i="6"/>
  <c r="BX25" i="6"/>
  <c r="BL62" i="6"/>
  <c r="BX28" i="6"/>
  <c r="BY4" i="6"/>
  <c r="BP3" i="6" s="1"/>
  <c r="BY3" i="6"/>
  <c r="BN3" i="6" s="1"/>
  <c r="BX40" i="6"/>
  <c r="AE62" i="6"/>
  <c r="BS8" i="6"/>
  <c r="BS32" i="6"/>
  <c r="P62" i="6"/>
  <c r="AF62" i="6"/>
  <c r="BD62" i="6"/>
  <c r="BS26" i="6"/>
  <c r="Q62" i="6"/>
  <c r="AG62" i="6"/>
  <c r="AO62" i="6"/>
  <c r="BE62" i="6"/>
  <c r="R62" i="6"/>
  <c r="Z62" i="6"/>
  <c r="AP62" i="6"/>
  <c r="BF62" i="6"/>
  <c r="BN62" i="6"/>
  <c r="K62" i="6"/>
  <c r="AA62" i="6"/>
  <c r="AQ62" i="6"/>
  <c r="AY62" i="6"/>
  <c r="BO62" i="6"/>
  <c r="AB62" i="6"/>
  <c r="BP62" i="6"/>
  <c r="V6" i="1" l="1"/>
  <c r="H27" i="1" l="1"/>
  <c r="W27" i="1" s="1"/>
  <c r="AA27" i="1" s="1"/>
  <c r="Z36" i="1"/>
  <c r="Z40" i="1"/>
  <c r="Z34" i="1"/>
  <c r="Z32" i="1"/>
  <c r="Z30" i="1"/>
  <c r="Z28" i="1"/>
  <c r="Z26" i="1"/>
  <c r="Z24" i="1"/>
  <c r="Z22" i="1"/>
  <c r="Z20" i="1"/>
  <c r="Z18" i="1"/>
  <c r="Z16" i="1"/>
  <c r="Z14" i="1"/>
  <c r="Z12" i="1"/>
  <c r="Z10" i="1"/>
  <c r="Z8" i="1"/>
  <c r="Z38" i="1"/>
  <c r="Z6" i="1"/>
  <c r="U44" i="1" l="1"/>
  <c r="T44" i="1"/>
  <c r="S44" i="1"/>
  <c r="R44" i="1"/>
  <c r="Q44" i="1"/>
  <c r="P44" i="1"/>
  <c r="O44" i="1"/>
  <c r="N44" i="1"/>
  <c r="M44" i="1"/>
  <c r="L44" i="1"/>
  <c r="K44" i="1"/>
  <c r="J44" i="1"/>
  <c r="AB1" i="1"/>
  <c r="AB3" i="1" s="1"/>
  <c r="W3" i="1" s="1"/>
  <c r="D36" i="1"/>
  <c r="D35" i="1"/>
  <c r="D40" i="1"/>
  <c r="D39" i="1"/>
  <c r="D34" i="1"/>
  <c r="D33" i="1"/>
  <c r="D32" i="1"/>
  <c r="D31" i="1"/>
  <c r="D30" i="1"/>
  <c r="D29" i="1"/>
  <c r="D28" i="1"/>
  <c r="D27" i="1"/>
  <c r="D26" i="1"/>
  <c r="D25" i="1"/>
  <c r="D24" i="1"/>
  <c r="D23" i="1"/>
  <c r="D22" i="1"/>
  <c r="D21" i="1"/>
  <c r="D20" i="1"/>
  <c r="D19" i="1"/>
  <c r="D18" i="1"/>
  <c r="D17" i="1"/>
  <c r="D16" i="1"/>
  <c r="D15" i="1"/>
  <c r="D14" i="1"/>
  <c r="D13" i="1"/>
  <c r="D12" i="1"/>
  <c r="D11" i="1"/>
  <c r="D10" i="1"/>
  <c r="D9" i="1"/>
  <c r="D8" i="1"/>
  <c r="D7" i="1"/>
  <c r="D38" i="1"/>
  <c r="D37" i="1"/>
  <c r="D6" i="1"/>
  <c r="D5" i="1"/>
  <c r="AB2" i="1" l="1"/>
  <c r="V3" i="1" s="1"/>
  <c r="AB4" i="1"/>
  <c r="X3" i="1" s="1"/>
  <c r="V29" i="1" l="1"/>
  <c r="H29" i="1"/>
  <c r="W29" i="1" s="1"/>
  <c r="AA29" i="1" s="1"/>
  <c r="V27" i="1"/>
  <c r="V26" i="1"/>
  <c r="V25" i="1"/>
  <c r="H25" i="1"/>
  <c r="W25" i="1" s="1"/>
  <c r="AA25" i="1" s="1"/>
  <c r="V30" i="1" l="1"/>
  <c r="V28" i="1"/>
  <c r="V35" i="1"/>
  <c r="V39" i="1"/>
  <c r="V33" i="1"/>
  <c r="V31" i="1"/>
  <c r="V23" i="1"/>
  <c r="V21" i="1"/>
  <c r="V19" i="1"/>
  <c r="V17" i="1"/>
  <c r="V15" i="1"/>
  <c r="V13" i="1"/>
  <c r="V11" i="1"/>
  <c r="V9" i="1"/>
  <c r="V7" i="1"/>
  <c r="V37" i="1"/>
  <c r="V5" i="1"/>
  <c r="V40" i="1" l="1"/>
  <c r="V32" i="1"/>
  <c r="V22" i="1"/>
  <c r="V18" i="1"/>
  <c r="V10" i="1" l="1"/>
  <c r="V14" i="1"/>
  <c r="V12" i="1"/>
  <c r="V16" i="1"/>
  <c r="V20" i="1"/>
  <c r="V24" i="1"/>
  <c r="V34" i="1"/>
  <c r="V36" i="1"/>
  <c r="V8" i="1"/>
  <c r="H35" i="1"/>
  <c r="W35" i="1" s="1"/>
  <c r="AA35" i="1" s="1"/>
  <c r="H39" i="1"/>
  <c r="W39" i="1" s="1"/>
  <c r="AA39" i="1" s="1"/>
  <c r="H33" i="1"/>
  <c r="W33" i="1" s="1"/>
  <c r="AA33" i="1" s="1"/>
  <c r="H31" i="1"/>
  <c r="W31" i="1" s="1"/>
  <c r="AA31" i="1" s="1"/>
  <c r="H23" i="1"/>
  <c r="H21" i="1"/>
  <c r="W21" i="1" s="1"/>
  <c r="AA21" i="1" s="1"/>
  <c r="H19" i="1"/>
  <c r="W19" i="1" s="1"/>
  <c r="AA19" i="1" s="1"/>
  <c r="H17" i="1"/>
  <c r="W17" i="1" s="1"/>
  <c r="AA17" i="1" s="1"/>
  <c r="H15" i="1"/>
  <c r="W15" i="1" s="1"/>
  <c r="AA15" i="1" s="1"/>
  <c r="H13" i="1"/>
  <c r="W13" i="1" s="1"/>
  <c r="AA13" i="1" s="1"/>
  <c r="H11" i="1"/>
  <c r="W11" i="1" s="1"/>
  <c r="AA11" i="1" s="1"/>
  <c r="H9" i="1"/>
  <c r="W9" i="1" s="1"/>
  <c r="AA9" i="1" s="1"/>
  <c r="H7" i="1"/>
  <c r="W7" i="1" s="1"/>
  <c r="AA7" i="1" s="1"/>
  <c r="H37" i="1"/>
  <c r="W37" i="1" s="1"/>
  <c r="AA37" i="1" s="1"/>
  <c r="H5" i="1"/>
  <c r="W5" i="1" s="1"/>
  <c r="AA5" i="1" s="1"/>
  <c r="W23" i="1" l="1"/>
  <c r="AA23" i="1" s="1"/>
  <c r="V38" i="1"/>
</calcChain>
</file>

<file path=xl/sharedStrings.xml><?xml version="1.0" encoding="utf-8"?>
<sst xmlns="http://schemas.openxmlformats.org/spreadsheetml/2006/main" count="433" uniqueCount="116">
  <si>
    <t>年次有給休暇取得予定表（管理簿）　（事業本部）</t>
    <rPh sb="0" eb="2">
      <t>ネンジ</t>
    </rPh>
    <rPh sb="2" eb="4">
      <t>ユウキュウ</t>
    </rPh>
    <rPh sb="4" eb="6">
      <t>キュウカ</t>
    </rPh>
    <rPh sb="6" eb="8">
      <t>シュトク</t>
    </rPh>
    <rPh sb="8" eb="10">
      <t>ヨテイ</t>
    </rPh>
    <rPh sb="10" eb="11">
      <t>ヒョウ</t>
    </rPh>
    <rPh sb="12" eb="14">
      <t>カンリ</t>
    </rPh>
    <rPh sb="14" eb="15">
      <t>ボ</t>
    </rPh>
    <rPh sb="18" eb="20">
      <t>ジギョウ</t>
    </rPh>
    <rPh sb="20" eb="22">
      <t>ホンブ</t>
    </rPh>
    <phoneticPr fontId="1"/>
  </si>
  <si>
    <t>当年度</t>
    <rPh sb="0" eb="3">
      <t>トウネンド</t>
    </rPh>
    <phoneticPr fontId="1"/>
  </si>
  <si>
    <t>今日</t>
    <rPh sb="0" eb="2">
      <t>キョウ</t>
    </rPh>
    <phoneticPr fontId="1"/>
  </si>
  <si>
    <t>年</t>
    <rPh sb="0" eb="1">
      <t>ネン</t>
    </rPh>
    <phoneticPr fontId="1"/>
  </si>
  <si>
    <t>作成年月日：</t>
    <rPh sb="0" eb="2">
      <t>サクセイ</t>
    </rPh>
    <rPh sb="2" eb="5">
      <t>ネンガッピ</t>
    </rPh>
    <phoneticPr fontId="1"/>
  </si>
  <si>
    <t>月</t>
    <rPh sb="0" eb="1">
      <t>ガツ</t>
    </rPh>
    <phoneticPr fontId="1"/>
  </si>
  <si>
    <t>氏　名</t>
    <rPh sb="0" eb="1">
      <t>シ</t>
    </rPh>
    <rPh sb="2" eb="3">
      <t>メイ</t>
    </rPh>
    <phoneticPr fontId="1"/>
  </si>
  <si>
    <t>役職名</t>
    <rPh sb="0" eb="3">
      <t>ヤクショクメイ</t>
    </rPh>
    <phoneticPr fontId="1"/>
  </si>
  <si>
    <r>
      <t xml:space="preserve">勤続年数
</t>
    </r>
    <r>
      <rPr>
        <sz val="9"/>
        <rFont val="ＭＳ Ｐゴシック"/>
        <family val="3"/>
        <charset val="128"/>
      </rPr>
      <t>(4/1現在）</t>
    </r>
    <rPh sb="0" eb="2">
      <t>キンゾク</t>
    </rPh>
    <rPh sb="2" eb="4">
      <t>ネンスウ</t>
    </rPh>
    <rPh sb="9" eb="11">
      <t>ゲンザイ</t>
    </rPh>
    <phoneticPr fontId="1"/>
  </si>
  <si>
    <t>前年　繰越</t>
    <rPh sb="0" eb="2">
      <t>ゼンネン</t>
    </rPh>
    <rPh sb="3" eb="5">
      <t>クリコシ</t>
    </rPh>
    <phoneticPr fontId="1"/>
  </si>
  <si>
    <t>新規　付与</t>
    <rPh sb="0" eb="2">
      <t>シンキ</t>
    </rPh>
    <rPh sb="3" eb="5">
      <t>フヨ</t>
    </rPh>
    <phoneticPr fontId="1"/>
  </si>
  <si>
    <t>計</t>
    <rPh sb="0" eb="1">
      <t>ケイ</t>
    </rPh>
    <phoneticPr fontId="1"/>
  </si>
  <si>
    <t>日数</t>
    <rPh sb="0" eb="2">
      <t>ニッスウ</t>
    </rPh>
    <phoneticPr fontId="1"/>
  </si>
  <si>
    <t>累計</t>
    <rPh sb="0" eb="2">
      <t>ルイケイ</t>
    </rPh>
    <phoneticPr fontId="1"/>
  </si>
  <si>
    <t>残日数</t>
    <rPh sb="0" eb="1">
      <t>ザン</t>
    </rPh>
    <rPh sb="1" eb="3">
      <t>ニッスウ</t>
    </rPh>
    <phoneticPr fontId="1"/>
  </si>
  <si>
    <t>次年  繰越</t>
    <rPh sb="0" eb="1">
      <t>ツギ</t>
    </rPh>
    <rPh sb="1" eb="2">
      <t>ドシ</t>
    </rPh>
    <rPh sb="4" eb="6">
      <t>クリコシ</t>
    </rPh>
    <phoneticPr fontId="1"/>
  </si>
  <si>
    <t>入社日</t>
    <rPh sb="0" eb="2">
      <t>ニュウシャ</t>
    </rPh>
    <rPh sb="2" eb="3">
      <t>ヒ</t>
    </rPh>
    <phoneticPr fontId="1"/>
  </si>
  <si>
    <t>計画∔期取得</t>
    <rPh sb="0" eb="2">
      <t>ケイカク</t>
    </rPh>
    <rPh sb="3" eb="4">
      <t>キ</t>
    </rPh>
    <rPh sb="4" eb="6">
      <t>シュトク</t>
    </rPh>
    <phoneticPr fontId="1"/>
  </si>
  <si>
    <t>残数</t>
    <rPh sb="0" eb="2">
      <t>ザンスウ</t>
    </rPh>
    <phoneticPr fontId="1"/>
  </si>
  <si>
    <t>日</t>
    <rPh sb="0" eb="1">
      <t>ヒ</t>
    </rPh>
    <phoneticPr fontId="1"/>
  </si>
  <si>
    <t>小林英彦</t>
    <rPh sb="0" eb="2">
      <t>コバヤシ</t>
    </rPh>
    <rPh sb="2" eb="4">
      <t>ヒデヒコ</t>
    </rPh>
    <phoneticPr fontId="1"/>
  </si>
  <si>
    <t>部長</t>
    <rPh sb="0" eb="2">
      <t>ブチョウ</t>
    </rPh>
    <phoneticPr fontId="1"/>
  </si>
  <si>
    <t>計画</t>
    <rPh sb="0" eb="2">
      <t>ケイカク</t>
    </rPh>
    <phoneticPr fontId="1"/>
  </si>
  <si>
    <t>か月</t>
    <rPh sb="1" eb="2">
      <t>ツキ</t>
    </rPh>
    <phoneticPr fontId="1"/>
  </si>
  <si>
    <t>取得</t>
    <rPh sb="0" eb="2">
      <t>シュトク</t>
    </rPh>
    <phoneticPr fontId="1"/>
  </si>
  <si>
    <t>木村博史</t>
    <rPh sb="0" eb="2">
      <t>キムラ</t>
    </rPh>
    <rPh sb="2" eb="4">
      <t>ヒロシ</t>
    </rPh>
    <phoneticPr fontId="1"/>
  </si>
  <si>
    <t>杉本知広</t>
    <rPh sb="0" eb="2">
      <t>スギモト</t>
    </rPh>
    <rPh sb="2" eb="4">
      <t>チヒロ</t>
    </rPh>
    <phoneticPr fontId="1"/>
  </si>
  <si>
    <t>課長</t>
    <rPh sb="0" eb="2">
      <t>カチョウ</t>
    </rPh>
    <phoneticPr fontId="1"/>
  </si>
  <si>
    <t>6P</t>
  </si>
  <si>
    <t>清水谷卓</t>
    <rPh sb="0" eb="3">
      <t>シミズダニ</t>
    </rPh>
    <rPh sb="3" eb="4">
      <t>タク</t>
    </rPh>
    <phoneticPr fontId="1"/>
  </si>
  <si>
    <t>田中　淳</t>
    <rPh sb="0" eb="2">
      <t>タナカ</t>
    </rPh>
    <rPh sb="3" eb="4">
      <t>ジュン</t>
    </rPh>
    <phoneticPr fontId="1"/>
  </si>
  <si>
    <t>飯田　毅</t>
    <rPh sb="0" eb="2">
      <t>イイダ</t>
    </rPh>
    <rPh sb="3" eb="4">
      <t>タケシ</t>
    </rPh>
    <phoneticPr fontId="1"/>
  </si>
  <si>
    <t>課長補佐</t>
    <rPh sb="0" eb="2">
      <t>カチョウ</t>
    </rPh>
    <rPh sb="2" eb="4">
      <t>ホサ</t>
    </rPh>
    <phoneticPr fontId="1"/>
  </si>
  <si>
    <t>7P</t>
  </si>
  <si>
    <t>12A</t>
  </si>
  <si>
    <t>14P</t>
  </si>
  <si>
    <t>上野直哉</t>
    <rPh sb="0" eb="2">
      <t>ウエノ</t>
    </rPh>
    <rPh sb="2" eb="4">
      <t>ナオヤ</t>
    </rPh>
    <phoneticPr fontId="1"/>
  </si>
  <si>
    <t>係長</t>
    <rPh sb="0" eb="2">
      <t>カカリチョウ</t>
    </rPh>
    <phoneticPr fontId="1"/>
  </si>
  <si>
    <t>秋山菜々子</t>
    <rPh sb="0" eb="2">
      <t>アキヤマ</t>
    </rPh>
    <rPh sb="2" eb="5">
      <t>ナナコ</t>
    </rPh>
    <phoneticPr fontId="1"/>
  </si>
  <si>
    <t>社員</t>
    <rPh sb="0" eb="2">
      <t>シャイン</t>
    </rPh>
    <phoneticPr fontId="1"/>
  </si>
  <si>
    <t>吉井彩香</t>
    <rPh sb="0" eb="2">
      <t>ヨシイ</t>
    </rPh>
    <rPh sb="2" eb="3">
      <t>アヤ</t>
    </rPh>
    <rPh sb="3" eb="4">
      <t>カ</t>
    </rPh>
    <phoneticPr fontId="1"/>
  </si>
  <si>
    <t>氏家　亨</t>
    <rPh sb="0" eb="2">
      <t>ウジイエ</t>
    </rPh>
    <rPh sb="3" eb="4">
      <t>リョウ</t>
    </rPh>
    <phoneticPr fontId="1"/>
  </si>
  <si>
    <t>尾﨑智香</t>
    <rPh sb="0" eb="2">
      <t>オザキ</t>
    </rPh>
    <rPh sb="2" eb="4">
      <t>トモカ</t>
    </rPh>
    <phoneticPr fontId="1"/>
  </si>
  <si>
    <t>8P</t>
  </si>
  <si>
    <t>19A</t>
  </si>
  <si>
    <t>眞弓孝之</t>
    <rPh sb="0" eb="2">
      <t>マユミ</t>
    </rPh>
    <rPh sb="2" eb="4">
      <t>タカユキ</t>
    </rPh>
    <phoneticPr fontId="1"/>
  </si>
  <si>
    <t>青木穂高</t>
    <rPh sb="0" eb="2">
      <t>アオキ</t>
    </rPh>
    <rPh sb="2" eb="4">
      <t>ホダカ</t>
    </rPh>
    <phoneticPr fontId="1"/>
  </si>
  <si>
    <t>中村清美</t>
    <rPh sb="0" eb="2">
      <t>ナカムラ</t>
    </rPh>
    <rPh sb="2" eb="4">
      <t>キヨミ</t>
    </rPh>
    <phoneticPr fontId="1"/>
  </si>
  <si>
    <t>高橋章子</t>
    <rPh sb="0" eb="2">
      <t>タカハシ</t>
    </rPh>
    <rPh sb="2" eb="4">
      <t>アキコ</t>
    </rPh>
    <phoneticPr fontId="1"/>
  </si>
  <si>
    <t>契約社員</t>
    <rPh sb="0" eb="2">
      <t>ケイヤク</t>
    </rPh>
    <rPh sb="2" eb="4">
      <t>シャイン</t>
    </rPh>
    <phoneticPr fontId="1"/>
  </si>
  <si>
    <t>杉村淑人</t>
    <rPh sb="0" eb="2">
      <t>スギムラ</t>
    </rPh>
    <rPh sb="2" eb="3">
      <t>シュク</t>
    </rPh>
    <rPh sb="3" eb="4">
      <t>ニン</t>
    </rPh>
    <phoneticPr fontId="1"/>
  </si>
  <si>
    <t>松浦正明</t>
    <rPh sb="0" eb="2">
      <t>マツウラ</t>
    </rPh>
    <rPh sb="2" eb="4">
      <t>マサアキ</t>
    </rPh>
    <phoneticPr fontId="1"/>
  </si>
  <si>
    <t>記入例</t>
    <rPh sb="0" eb="2">
      <t>キニュウ</t>
    </rPh>
    <rPh sb="2" eb="3">
      <t>レイ</t>
    </rPh>
    <phoneticPr fontId="1"/>
  </si>
  <si>
    <t>神谷町男</t>
    <rPh sb="0" eb="2">
      <t>カミヤ</t>
    </rPh>
    <rPh sb="3" eb="4">
      <t>オトコ</t>
    </rPh>
    <phoneticPr fontId="1"/>
  </si>
  <si>
    <t>5A</t>
    <phoneticPr fontId="1"/>
  </si>
  <si>
    <t>6P</t>
    <phoneticPr fontId="1"/>
  </si>
  <si>
    <t>小林　英彦</t>
    <rPh sb="0" eb="2">
      <t>コバヤシ</t>
    </rPh>
    <rPh sb="3" eb="5">
      <t>ヒデヒコ</t>
    </rPh>
    <phoneticPr fontId="1"/>
  </si>
  <si>
    <t>部長</t>
    <rPh sb="0" eb="1">
      <t>ブ</t>
    </rPh>
    <rPh sb="1" eb="2">
      <t>チョウ</t>
    </rPh>
    <phoneticPr fontId="1"/>
  </si>
  <si>
    <t>30A</t>
    <phoneticPr fontId="1"/>
  </si>
  <si>
    <t>10B</t>
    <phoneticPr fontId="1"/>
  </si>
  <si>
    <t>16B</t>
    <phoneticPr fontId="1"/>
  </si>
  <si>
    <t>19B</t>
    <phoneticPr fontId="1"/>
  </si>
  <si>
    <t>藤川　秀人</t>
  </si>
  <si>
    <t>参与</t>
    <rPh sb="0" eb="2">
      <t>サンヨ</t>
    </rPh>
    <phoneticPr fontId="1"/>
  </si>
  <si>
    <t>木村　博史</t>
  </si>
  <si>
    <t>7A</t>
    <phoneticPr fontId="1"/>
  </si>
  <si>
    <t>5P</t>
    <phoneticPr fontId="1"/>
  </si>
  <si>
    <t>8P</t>
    <phoneticPr fontId="1"/>
  </si>
  <si>
    <t>11P</t>
    <phoneticPr fontId="1"/>
  </si>
  <si>
    <t>11，13</t>
    <phoneticPr fontId="1"/>
  </si>
  <si>
    <t>25～</t>
    <phoneticPr fontId="1"/>
  </si>
  <si>
    <t>2～</t>
    <phoneticPr fontId="1"/>
  </si>
  <si>
    <t>～</t>
    <phoneticPr fontId="1"/>
  </si>
  <si>
    <t>14A</t>
    <phoneticPr fontId="1"/>
  </si>
  <si>
    <t>杉本　知広</t>
  </si>
  <si>
    <t>25P</t>
    <phoneticPr fontId="1"/>
  </si>
  <si>
    <t>何　徳平</t>
  </si>
  <si>
    <t>2A</t>
    <phoneticPr fontId="1"/>
  </si>
  <si>
    <t>31A</t>
    <phoneticPr fontId="1"/>
  </si>
  <si>
    <t>24A</t>
    <phoneticPr fontId="1"/>
  </si>
  <si>
    <t>高橋　章子</t>
  </si>
  <si>
    <t>9P</t>
    <phoneticPr fontId="1"/>
  </si>
  <si>
    <t>17A</t>
    <phoneticPr fontId="1"/>
  </si>
  <si>
    <t>21P</t>
    <phoneticPr fontId="1"/>
  </si>
  <si>
    <t>14P</t>
    <phoneticPr fontId="1"/>
  </si>
  <si>
    <t>17P</t>
    <phoneticPr fontId="1"/>
  </si>
  <si>
    <t>11A</t>
    <phoneticPr fontId="1"/>
  </si>
  <si>
    <t>18A</t>
    <phoneticPr fontId="1"/>
  </si>
  <si>
    <t>9A</t>
    <phoneticPr fontId="1"/>
  </si>
  <si>
    <t>15P</t>
    <phoneticPr fontId="1"/>
  </si>
  <si>
    <t>27P</t>
    <phoneticPr fontId="1"/>
  </si>
  <si>
    <t>19A</t>
    <phoneticPr fontId="1"/>
  </si>
  <si>
    <t>田中　淳</t>
  </si>
  <si>
    <t>技術課長</t>
    <rPh sb="0" eb="2">
      <t>ギジュツ</t>
    </rPh>
    <rPh sb="2" eb="4">
      <t>カチョウ</t>
    </rPh>
    <phoneticPr fontId="1"/>
  </si>
  <si>
    <t>16A</t>
    <phoneticPr fontId="1"/>
  </si>
  <si>
    <t>飯田　毅</t>
  </si>
  <si>
    <t>30P</t>
    <phoneticPr fontId="1"/>
  </si>
  <si>
    <t>上野　直哉</t>
  </si>
  <si>
    <t>主任</t>
    <rPh sb="0" eb="2">
      <t>シュニン</t>
    </rPh>
    <phoneticPr fontId="1"/>
  </si>
  <si>
    <t>4A</t>
    <phoneticPr fontId="1"/>
  </si>
  <si>
    <t>21A</t>
    <phoneticPr fontId="1"/>
  </si>
  <si>
    <t>25A</t>
    <phoneticPr fontId="1"/>
  </si>
  <si>
    <t>26A</t>
    <phoneticPr fontId="1"/>
  </si>
  <si>
    <t>秋山　菜々子</t>
  </si>
  <si>
    <t>一般社員</t>
    <rPh sb="0" eb="2">
      <t>イッパン</t>
    </rPh>
    <rPh sb="2" eb="4">
      <t>シャイン</t>
    </rPh>
    <phoneticPr fontId="1"/>
  </si>
  <si>
    <t>8A</t>
    <phoneticPr fontId="1"/>
  </si>
  <si>
    <t>10A</t>
    <phoneticPr fontId="1"/>
  </si>
  <si>
    <t>尾﨑　智香</t>
  </si>
  <si>
    <t>新入</t>
    <rPh sb="0" eb="2">
      <t>シンニュウ</t>
    </rPh>
    <phoneticPr fontId="1"/>
  </si>
  <si>
    <t>吉井　彩香</t>
    <rPh sb="0" eb="2">
      <t>ヨシイ</t>
    </rPh>
    <rPh sb="3" eb="5">
      <t>サイカ</t>
    </rPh>
    <phoneticPr fontId="1"/>
  </si>
  <si>
    <t>年次有給休暇管理簿</t>
    <rPh sb="0" eb="2">
      <t>ネンジ</t>
    </rPh>
    <rPh sb="2" eb="4">
      <t>ユウキュウ</t>
    </rPh>
    <rPh sb="4" eb="6">
      <t>キュウカ</t>
    </rPh>
    <rPh sb="6" eb="8">
      <t>カンリ</t>
    </rPh>
    <rPh sb="8" eb="9">
      <t>ボ</t>
    </rPh>
    <phoneticPr fontId="1"/>
  </si>
  <si>
    <t>確認用</t>
    <rPh sb="0" eb="2">
      <t>カクニン</t>
    </rPh>
    <rPh sb="2" eb="3">
      <t>ヨウ</t>
    </rPh>
    <phoneticPr fontId="1"/>
  </si>
  <si>
    <t>・・・自動計算セル</t>
    <rPh sb="3" eb="5">
      <t>ジドウ</t>
    </rPh>
    <rPh sb="5" eb="7">
      <t>ケイサン</t>
    </rPh>
    <phoneticPr fontId="1"/>
  </si>
  <si>
    <t>←ma2add</t>
    <phoneticPr fontId="1"/>
  </si>
  <si>
    <t>月</t>
    <rPh sb="0" eb="1">
      <t>ガツ</t>
    </rPh>
    <phoneticPr fontId="1"/>
  </si>
  <si>
    <t>月</t>
    <rPh sb="0" eb="1">
      <t>ガツ</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</si>
</sst>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76" formatCode="0_ "/>
    <numFmt numFmtId="177" formatCode="#&quot;月&quot;"/>
    <numFmt numFmtId="178" formatCode="0.0"/>
    <numFmt numFmtId="179" formatCode="[$-411]ge\.m\.d;@"/>
  </numFmts>
  <fonts count="8">
    <font>
      <sz val="11"/>
      <name val="ＭＳ Ｐゴシック"/>
      <family val="3"/>
      <charset val="128"/>
    </font>
    <font>
      <sz val="6"/>
      <name val="ＭＳ Ｐゴシック"/>
      <family val="3"/>
      <charset val="128"/>
    </font>
    <font>
      <sz val="10"/>
      <name val="ＭＳ Ｐゴシック"/>
      <family val="3"/>
      <charset val="128"/>
    </font>
    <font>
      <sz val="9"/>
      <name val="ＭＳ Ｐゴシック"/>
      <family val="3"/>
      <charset val="128"/>
    </font>
    <font>
      <sz val="18"/>
      <name val="ＭＳ Ｐゴシック"/>
      <family val="3"/>
      <charset val="128"/>
    </font>
    <font>
      <sz val="10"/>
      <color rgb="FF424242"/>
      <name val="ＭＳ ゴシック"/>
      <family val="3"/>
      <charset val="128"/>
    </font>
    <font>
      <b/>
      <sz val="11"/>
      <color rgb="FFFF0000"/>
      <name val="ＭＳ Ｐゴシック"/>
      <family val="3"/>
      <charset val="128"/>
    </font>
    <font>
      <sz val="11"/>
      <color rgb="FF000000"/>
      <name val="ＭＳ Ｐゴシック"/>
      <family val="3"/>
      <charset val="128"/>
    </font>
  </fonts>
  <fills count="10">
    <fill>
      <patternFill patternType="none"/>
    </fill>
    <fill>
      <patternFill patternType="gray125"/>
    </fill>
    <fill>
      <patternFill patternType="solid">
        <fgColor indexed="9"/>
        <bgColor indexed="64"/>
      </patternFill>
    </fill>
    <fill>
      <patternFill patternType="solid">
        <fgColor theme="0" tint="-0.14999847407452621"/>
        <bgColor indexed="64"/>
      </patternFill>
    </fill>
    <fill>
      <patternFill patternType="solid">
        <fgColor rgb="FFFFFF00"/>
        <bgColor indexed="64"/>
      </patternFill>
    </fill>
    <fill>
      <patternFill patternType="solid">
        <fgColor rgb="FFCCECFF"/>
        <bgColor indexed="64"/>
      </patternFill>
    </fill>
    <fill>
      <patternFill patternType="solid">
        <fgColor rgb="FFCCFFCC"/>
        <bgColor indexed="64"/>
      </patternFill>
    </fill>
    <fill>
      <patternFill patternType="solid">
        <fgColor rgb="FFFFFFCC"/>
        <bgColor indexed="64"/>
      </patternFill>
    </fill>
    <fill>
      <patternFill patternType="solid">
        <fgColor rgb="FF00B0F0"/>
        <bgColor indexed="64"/>
      </patternFill>
    </fill>
    <fill>
      <patternFill patternType="solid">
        <fgColor indexed="41"/>
        <bgColor indexed="64"/>
      </patternFill>
    </fill>
  </fills>
  <borders count="37">
    <border>
      <left/>
      <right/>
      <top/>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thin">
        <color indexed="64"/>
      </left>
      <right style="thin">
        <color indexed="64"/>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hair">
        <color indexed="64"/>
      </left>
      <right/>
      <top style="thin">
        <color indexed="64"/>
      </top>
      <bottom/>
      <diagonal/>
    </border>
    <border>
      <left style="hair">
        <color indexed="64"/>
      </left>
      <right/>
      <top style="thin">
        <color indexed="64"/>
      </top>
      <bottom style="thin">
        <color indexed="64"/>
      </bottom>
      <diagonal/>
    </border>
    <border>
      <left style="hair">
        <color indexed="64"/>
      </left>
      <right/>
      <top style="hair">
        <color indexed="64"/>
      </top>
      <bottom style="thin">
        <color indexed="64"/>
      </bottom>
      <diagonal/>
    </border>
    <border>
      <left/>
      <right/>
      <top/>
      <bottom style="thin">
        <color indexed="64"/>
      </bottom>
      <diagonal/>
    </border>
    <border>
      <left/>
      <right style="hair">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hair">
        <color indexed="64"/>
      </left>
      <right style="hair">
        <color indexed="64"/>
      </right>
      <top/>
      <bottom/>
      <diagonal/>
    </border>
    <border>
      <left/>
      <right/>
      <top style="thin">
        <color indexed="64"/>
      </top>
      <bottom style="thin">
        <color indexed="64"/>
      </bottom>
      <diagonal/>
    </border>
    <border>
      <left/>
      <right/>
      <top style="thin">
        <color indexed="64"/>
      </top>
      <bottom/>
      <diagonal/>
    </border>
    <border>
      <left/>
      <right style="hair">
        <color indexed="64"/>
      </right>
      <top style="thin">
        <color indexed="64"/>
      </top>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style="hair">
        <color indexed="64"/>
      </right>
      <top style="thin">
        <color indexed="64"/>
      </top>
      <bottom style="hair">
        <color indexed="64"/>
      </bottom>
      <diagonal/>
    </border>
    <border>
      <left/>
      <right style="thin">
        <color indexed="64"/>
      </right>
      <top style="hair">
        <color indexed="64"/>
      </top>
      <bottom style="thin">
        <color indexed="64"/>
      </bottom>
      <diagonal/>
    </border>
    <border>
      <left/>
      <right style="thin">
        <color indexed="64"/>
      </right>
      <top style="hair">
        <color indexed="64"/>
      </top>
      <bottom/>
      <diagonal/>
    </border>
    <border>
      <left/>
      <right style="thin">
        <color indexed="64"/>
      </right>
      <top style="thin">
        <color indexed="64"/>
      </top>
      <bottom style="hair">
        <color indexed="64"/>
      </bottom>
      <diagonal/>
    </border>
    <border>
      <left style="hair">
        <color indexed="64"/>
      </left>
      <right style="hair">
        <color indexed="64"/>
      </right>
      <top style="hair">
        <color indexed="64"/>
      </top>
      <bottom/>
      <diagonal/>
    </border>
    <border>
      <left style="thin">
        <color indexed="64"/>
      </left>
      <right/>
      <top style="hair">
        <color indexed="64"/>
      </top>
      <bottom style="thin">
        <color indexed="64"/>
      </bottom>
      <diagonal/>
    </border>
    <border>
      <left/>
      <right style="hair">
        <color indexed="64"/>
      </right>
      <top/>
      <bottom/>
      <diagonal/>
    </border>
  </borders>
  <cellStyleXfs count="1">
    <xf numFmtId="0" fontId="0" fillId="0" borderId="0">
      <alignment vertical="center"/>
    </xf>
  </cellStyleXfs>
  <cellXfs count="157">
    <xf numFmtId="0" fontId="0" fillId="0" borderId="0" xfId="0">
      <alignment vertical="center"/>
    </xf>
    <xf numFmtId="0" fontId="2" fillId="2" borderId="2" xfId="0" applyFont="1" applyFill="1" applyBorder="1" applyAlignment="1">
      <alignment horizontal="right" vertical="center"/>
    </xf>
    <xf numFmtId="0" fontId="0" fillId="2" borderId="0" xfId="0" applyFill="1">
      <alignment vertical="center"/>
    </xf>
    <xf numFmtId="0" fontId="0" fillId="2" borderId="0" xfId="0" applyFill="1" applyAlignment="1">
      <alignment vertical="center"/>
    </xf>
    <xf numFmtId="0" fontId="0" fillId="2" borderId="0" xfId="0" applyFill="1" applyAlignment="1">
      <alignment horizontal="left" vertical="center"/>
    </xf>
    <xf numFmtId="0" fontId="0" fillId="2" borderId="0" xfId="0" applyFill="1" applyAlignment="1">
      <alignment horizontal="center" vertical="center"/>
    </xf>
    <xf numFmtId="0" fontId="0" fillId="0" borderId="0" xfId="0" applyAlignment="1">
      <alignment horizontal="center" vertical="center"/>
    </xf>
    <xf numFmtId="0" fontId="0" fillId="0" borderId="11" xfId="0" applyFill="1" applyBorder="1" applyAlignment="1">
      <alignment horizontal="center" vertical="center"/>
    </xf>
    <xf numFmtId="0" fontId="0" fillId="0" borderId="1" xfId="0" applyFill="1" applyBorder="1" applyAlignment="1">
      <alignment horizontal="center" vertical="center" wrapText="1"/>
    </xf>
    <xf numFmtId="0" fontId="0" fillId="0" borderId="11" xfId="0" applyFill="1" applyBorder="1" applyAlignment="1">
      <alignment horizontal="center" vertical="center" wrapText="1"/>
    </xf>
    <xf numFmtId="0" fontId="0" fillId="3" borderId="0" xfId="0" applyFill="1">
      <alignment vertical="center"/>
    </xf>
    <xf numFmtId="0" fontId="0" fillId="0" borderId="14" xfId="0" applyFill="1" applyBorder="1" applyAlignment="1">
      <alignment horizontal="center" vertical="center"/>
    </xf>
    <xf numFmtId="0" fontId="0" fillId="0" borderId="6" xfId="0" applyFill="1" applyBorder="1">
      <alignment vertical="center"/>
    </xf>
    <xf numFmtId="0" fontId="0" fillId="0" borderId="7" xfId="0" applyFill="1" applyBorder="1">
      <alignment vertical="center"/>
    </xf>
    <xf numFmtId="0" fontId="0" fillId="0" borderId="16" xfId="0" applyFill="1" applyBorder="1">
      <alignment vertical="center"/>
    </xf>
    <xf numFmtId="0" fontId="0" fillId="0" borderId="9" xfId="0" applyFill="1" applyBorder="1">
      <alignment vertical="center"/>
    </xf>
    <xf numFmtId="0" fontId="0" fillId="0" borderId="10" xfId="0" applyFill="1" applyBorder="1">
      <alignment vertical="center"/>
    </xf>
    <xf numFmtId="0" fontId="0" fillId="0" borderId="18" xfId="0" applyFill="1" applyBorder="1">
      <alignment vertical="center"/>
    </xf>
    <xf numFmtId="0" fontId="2" fillId="2" borderId="5"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8" xfId="0" applyFont="1" applyFill="1" applyBorder="1" applyAlignment="1">
      <alignment horizontal="center" vertical="center"/>
    </xf>
    <xf numFmtId="14" fontId="0" fillId="4" borderId="0" xfId="0" applyNumberFormat="1" applyFill="1">
      <alignment vertical="center"/>
    </xf>
    <xf numFmtId="0" fontId="0" fillId="4" borderId="0" xfId="0" applyFill="1">
      <alignment vertical="center"/>
    </xf>
    <xf numFmtId="0" fontId="0" fillId="0" borderId="0" xfId="0" applyFill="1" applyBorder="1" applyAlignment="1">
      <alignment horizontal="center" vertical="center"/>
    </xf>
    <xf numFmtId="0" fontId="0" fillId="0" borderId="0" xfId="0" applyNumberFormat="1">
      <alignment vertical="center"/>
    </xf>
    <xf numFmtId="14" fontId="0" fillId="3" borderId="0" xfId="0" applyNumberFormat="1" applyFill="1">
      <alignment vertical="center"/>
    </xf>
    <xf numFmtId="0" fontId="5" fillId="3" borderId="0" xfId="0" applyFont="1" applyFill="1">
      <alignment vertical="center"/>
    </xf>
    <xf numFmtId="0" fontId="2" fillId="2" borderId="23" xfId="0" applyFont="1" applyFill="1" applyBorder="1" applyAlignment="1">
      <alignment horizontal="center" vertical="center"/>
    </xf>
    <xf numFmtId="0" fontId="2" fillId="0" borderId="21" xfId="0" applyFont="1" applyFill="1" applyBorder="1" applyAlignment="1">
      <alignment horizontal="center" vertical="center"/>
    </xf>
    <xf numFmtId="0" fontId="0" fillId="2" borderId="0" xfId="0" applyNumberFormat="1" applyFill="1">
      <alignment vertical="center"/>
    </xf>
    <xf numFmtId="0" fontId="0" fillId="0" borderId="0" xfId="0" applyFill="1">
      <alignment vertical="center"/>
    </xf>
    <xf numFmtId="0" fontId="0" fillId="0" borderId="0" xfId="0" applyFill="1" applyAlignment="1">
      <alignment horizontal="left" vertical="center"/>
    </xf>
    <xf numFmtId="0" fontId="0" fillId="0" borderId="0" xfId="0" applyFill="1" applyAlignment="1">
      <alignment vertical="center"/>
    </xf>
    <xf numFmtId="0" fontId="0" fillId="0" borderId="0" xfId="0" applyFill="1" applyAlignment="1">
      <alignment horizontal="center" vertical="center"/>
    </xf>
    <xf numFmtId="0" fontId="0" fillId="0" borderId="30" xfId="0" applyFill="1" applyBorder="1">
      <alignment vertical="center"/>
    </xf>
    <xf numFmtId="0" fontId="0" fillId="0" borderId="31" xfId="0" applyBorder="1">
      <alignment vertical="center"/>
    </xf>
    <xf numFmtId="0" fontId="0" fillId="0" borderId="32" xfId="0" applyBorder="1">
      <alignment vertical="center"/>
    </xf>
    <xf numFmtId="0" fontId="0" fillId="0" borderId="24" xfId="0" applyBorder="1">
      <alignment vertical="center"/>
    </xf>
    <xf numFmtId="0" fontId="0" fillId="0" borderId="10" xfId="0" applyBorder="1">
      <alignment vertical="center"/>
    </xf>
    <xf numFmtId="0" fontId="0" fillId="0" borderId="26" xfId="0" applyFill="1" applyBorder="1">
      <alignment vertical="center"/>
    </xf>
    <xf numFmtId="0" fontId="0" fillId="0" borderId="31" xfId="0" applyFill="1" applyBorder="1">
      <alignment vertical="center"/>
    </xf>
    <xf numFmtId="0" fontId="0" fillId="0" borderId="28" xfId="0" applyFill="1" applyBorder="1">
      <alignment vertical="center"/>
    </xf>
    <xf numFmtId="0" fontId="0" fillId="0" borderId="33" xfId="0" applyFill="1" applyBorder="1">
      <alignment vertical="center"/>
    </xf>
    <xf numFmtId="0" fontId="0" fillId="0" borderId="34" xfId="0" applyBorder="1">
      <alignment vertical="center"/>
    </xf>
    <xf numFmtId="0" fontId="0" fillId="6" borderId="3" xfId="0" applyFill="1" applyBorder="1" applyAlignment="1">
      <alignment vertical="center"/>
    </xf>
    <xf numFmtId="0" fontId="0" fillId="6" borderId="4" xfId="0" applyFill="1" applyBorder="1" applyAlignment="1">
      <alignment vertical="center"/>
    </xf>
    <xf numFmtId="0" fontId="0" fillId="6" borderId="1" xfId="0" applyFill="1" applyBorder="1">
      <alignment vertical="center"/>
    </xf>
    <xf numFmtId="0" fontId="0" fillId="6" borderId="8" xfId="0" applyFill="1" applyBorder="1">
      <alignment vertical="center"/>
    </xf>
    <xf numFmtId="0" fontId="0" fillId="6" borderId="5" xfId="0" applyFill="1" applyBorder="1">
      <alignment vertical="center"/>
    </xf>
    <xf numFmtId="0" fontId="0" fillId="6" borderId="31" xfId="0" applyFill="1" applyBorder="1">
      <alignment vertical="center"/>
    </xf>
    <xf numFmtId="0" fontId="0" fillId="6" borderId="0" xfId="0" applyFill="1">
      <alignment vertical="center"/>
    </xf>
    <xf numFmtId="0" fontId="0" fillId="7" borderId="24" xfId="0" quotePrefix="1" applyNumberFormat="1" applyFill="1" applyBorder="1">
      <alignment vertical="center"/>
    </xf>
    <xf numFmtId="0" fontId="0" fillId="7" borderId="24" xfId="0" quotePrefix="1" applyNumberFormat="1" applyFill="1" applyBorder="1" applyAlignment="1">
      <alignment vertical="center" shrinkToFit="1"/>
    </xf>
    <xf numFmtId="0" fontId="0" fillId="7" borderId="24" xfId="0" applyNumberFormat="1" applyFill="1" applyBorder="1">
      <alignment vertical="center"/>
    </xf>
    <xf numFmtId="0" fontId="0" fillId="7" borderId="24" xfId="0" applyNumberFormat="1" applyFill="1" applyBorder="1" applyAlignment="1">
      <alignment vertical="center" shrinkToFit="1"/>
    </xf>
    <xf numFmtId="0" fontId="0" fillId="6" borderId="22" xfId="0" applyFill="1" applyBorder="1" applyAlignment="1">
      <alignment vertical="center"/>
    </xf>
    <xf numFmtId="0" fontId="0" fillId="6" borderId="21" xfId="0" applyFill="1" applyBorder="1">
      <alignment vertical="center"/>
    </xf>
    <xf numFmtId="0" fontId="5" fillId="6" borderId="0" xfId="0" applyFont="1" applyFill="1">
      <alignment vertical="center"/>
    </xf>
    <xf numFmtId="0" fontId="0" fillId="6" borderId="0" xfId="0" applyFill="1" applyAlignment="1">
      <alignment vertical="center" shrinkToFit="1"/>
    </xf>
    <xf numFmtId="0" fontId="0" fillId="6" borderId="0" xfId="0" applyFill="1" applyAlignment="1">
      <alignment horizontal="right" vertical="center"/>
    </xf>
    <xf numFmtId="0" fontId="0" fillId="0" borderId="0" xfId="0" applyFill="1" applyBorder="1" applyAlignment="1">
      <alignment vertical="center"/>
    </xf>
    <xf numFmtId="178" fontId="0" fillId="6" borderId="8" xfId="0" applyNumberFormat="1" applyFill="1" applyBorder="1">
      <alignment vertical="center"/>
    </xf>
    <xf numFmtId="179" fontId="0" fillId="4" borderId="0" xfId="0" applyNumberFormat="1" applyFill="1">
      <alignment vertical="center"/>
    </xf>
    <xf numFmtId="177" fontId="0" fillId="5" borderId="14" xfId="0" applyNumberFormat="1" applyFill="1" applyBorder="1" applyAlignment="1">
      <alignment horizontal="center" vertical="center"/>
    </xf>
    <xf numFmtId="177" fontId="0" fillId="5" borderId="12" xfId="0" applyNumberFormat="1" applyFill="1" applyBorder="1" applyAlignment="1">
      <alignment horizontal="center" vertical="center"/>
    </xf>
    <xf numFmtId="0" fontId="0" fillId="0" borderId="11" xfId="0" applyFill="1" applyBorder="1" applyAlignment="1">
      <alignment horizontal="center" vertical="center" shrinkToFit="1"/>
    </xf>
    <xf numFmtId="178" fontId="0" fillId="6" borderId="1" xfId="0" applyNumberFormat="1" applyFill="1" applyBorder="1">
      <alignment vertical="center"/>
    </xf>
    <xf numFmtId="0" fontId="0" fillId="0" borderId="16" xfId="0" applyNumberFormat="1" applyFill="1" applyBorder="1" applyAlignment="1">
      <alignment horizontal="center" vertical="center"/>
    </xf>
    <xf numFmtId="0" fontId="0" fillId="0" borderId="26" xfId="0" applyNumberFormat="1" applyFill="1" applyBorder="1" applyAlignment="1">
      <alignment horizontal="center" vertical="center"/>
    </xf>
    <xf numFmtId="0" fontId="0" fillId="0" borderId="27" xfId="0" applyNumberFormat="1" applyFill="1" applyBorder="1" applyAlignment="1">
      <alignment horizontal="center" vertical="center"/>
    </xf>
    <xf numFmtId="0" fontId="0" fillId="0" borderId="16" xfId="0" applyNumberFormat="1" applyFill="1" applyBorder="1" applyAlignment="1">
      <alignment horizontal="center" vertical="center" shrinkToFit="1"/>
    </xf>
    <xf numFmtId="0" fontId="0" fillId="0" borderId="26" xfId="0" applyNumberFormat="1" applyFill="1" applyBorder="1" applyAlignment="1">
      <alignment horizontal="center" vertical="center" shrinkToFit="1"/>
    </xf>
    <xf numFmtId="0" fontId="0" fillId="0" borderId="27" xfId="0" applyNumberFormat="1" applyFill="1" applyBorder="1" applyAlignment="1">
      <alignment horizontal="center" vertical="center" shrinkToFit="1"/>
    </xf>
    <xf numFmtId="0" fontId="0" fillId="0" borderId="18" xfId="0" applyNumberFormat="1" applyFill="1" applyBorder="1" applyAlignment="1">
      <alignment horizontal="center" vertical="center" shrinkToFit="1"/>
    </xf>
    <xf numFmtId="0" fontId="0" fillId="0" borderId="28" xfId="0" applyNumberFormat="1" applyFill="1" applyBorder="1" applyAlignment="1">
      <alignment horizontal="center" vertical="center" shrinkToFit="1"/>
    </xf>
    <xf numFmtId="0" fontId="0" fillId="0" borderId="29" xfId="0" applyNumberFormat="1" applyFill="1" applyBorder="1" applyAlignment="1">
      <alignment horizontal="center" vertical="center" shrinkToFit="1"/>
    </xf>
    <xf numFmtId="177" fontId="0" fillId="5" borderId="17" xfId="0" applyNumberFormat="1" applyFill="1" applyBorder="1" applyAlignment="1">
      <alignment horizontal="center" vertical="center"/>
    </xf>
    <xf numFmtId="177" fontId="0" fillId="5" borderId="20" xfId="0" applyNumberFormat="1" applyFill="1" applyBorder="1" applyAlignment="1">
      <alignment horizontal="center" vertical="center"/>
    </xf>
    <xf numFmtId="176" fontId="0" fillId="0" borderId="1" xfId="0" applyNumberFormat="1" applyFill="1" applyBorder="1" applyAlignment="1">
      <alignment horizontal="center" vertical="center"/>
    </xf>
    <xf numFmtId="176" fontId="0" fillId="0" borderId="21" xfId="0" applyNumberFormat="1" applyFill="1" applyBorder="1" applyAlignment="1">
      <alignment horizontal="center" vertical="center"/>
    </xf>
    <xf numFmtId="176" fontId="0" fillId="0" borderId="13" xfId="0" applyNumberFormat="1" applyFill="1" applyBorder="1" applyAlignment="1">
      <alignment horizontal="center" vertical="center"/>
    </xf>
    <xf numFmtId="0" fontId="0" fillId="0" borderId="1" xfId="0" applyFill="1" applyBorder="1" applyAlignment="1">
      <alignment horizontal="center" vertical="center"/>
    </xf>
    <xf numFmtId="0" fontId="0" fillId="0" borderId="3" xfId="0" applyNumberFormat="1" applyFill="1" applyBorder="1" applyAlignment="1">
      <alignment horizontal="center" vertical="center"/>
    </xf>
    <xf numFmtId="0" fontId="0" fillId="0" borderId="0" xfId="0" applyAlignment="1">
      <alignment vertical="center" wrapText="1"/>
    </xf>
    <xf numFmtId="0" fontId="0" fillId="0" borderId="16" xfId="0" applyNumberFormat="1" applyFill="1" applyBorder="1" applyAlignment="1">
      <alignment horizontal="center" vertical="center" shrinkToFit="1"/>
    </xf>
    <xf numFmtId="0" fontId="0" fillId="0" borderId="26" xfId="0" applyNumberFormat="1" applyFill="1" applyBorder="1" applyAlignment="1">
      <alignment horizontal="center" vertical="center" shrinkToFit="1"/>
    </xf>
    <xf numFmtId="0" fontId="0" fillId="0" borderId="27" xfId="0" applyNumberFormat="1" applyFill="1" applyBorder="1" applyAlignment="1">
      <alignment horizontal="center" vertical="center" shrinkToFit="1"/>
    </xf>
    <xf numFmtId="0" fontId="0" fillId="0" borderId="18" xfId="0" applyNumberFormat="1" applyFill="1" applyBorder="1" applyAlignment="1">
      <alignment horizontal="center" vertical="center" shrinkToFit="1"/>
    </xf>
    <xf numFmtId="0" fontId="0" fillId="0" borderId="28" xfId="0" applyNumberFormat="1" applyFill="1" applyBorder="1" applyAlignment="1">
      <alignment horizontal="center" vertical="center" shrinkToFit="1"/>
    </xf>
    <xf numFmtId="0" fontId="0" fillId="0" borderId="29" xfId="0" applyNumberFormat="1" applyFill="1" applyBorder="1" applyAlignment="1">
      <alignment horizontal="center" vertical="center" shrinkToFit="1"/>
    </xf>
    <xf numFmtId="0" fontId="0" fillId="0" borderId="16" xfId="0" applyNumberFormat="1" applyFill="1" applyBorder="1" applyAlignment="1">
      <alignment horizontal="center" vertical="center"/>
    </xf>
    <xf numFmtId="0" fontId="0" fillId="0" borderId="26" xfId="0" applyNumberFormat="1" applyFill="1" applyBorder="1" applyAlignment="1">
      <alignment horizontal="center" vertical="center"/>
    </xf>
    <xf numFmtId="0" fontId="0" fillId="0" borderId="27" xfId="0" applyNumberFormat="1" applyFill="1" applyBorder="1" applyAlignment="1">
      <alignment horizontal="center" vertical="center"/>
    </xf>
    <xf numFmtId="0" fontId="0" fillId="0" borderId="18" xfId="0" applyNumberFormat="1" applyFill="1" applyBorder="1" applyAlignment="1">
      <alignment horizontal="center" vertical="center"/>
    </xf>
    <xf numFmtId="0" fontId="0" fillId="0" borderId="28" xfId="0" applyNumberFormat="1" applyFill="1" applyBorder="1" applyAlignment="1">
      <alignment horizontal="center" vertical="center"/>
    </xf>
    <xf numFmtId="0" fontId="0" fillId="0" borderId="29" xfId="0" applyNumberFormat="1" applyFill="1" applyBorder="1" applyAlignment="1">
      <alignment horizontal="center" vertical="center"/>
    </xf>
    <xf numFmtId="0" fontId="0" fillId="0" borderId="3" xfId="0" applyNumberFormat="1" applyFill="1" applyBorder="1" applyAlignment="1">
      <alignment horizontal="center" vertical="center"/>
    </xf>
    <xf numFmtId="0" fontId="0" fillId="0" borderId="35" xfId="0" applyNumberFormat="1" applyFill="1" applyBorder="1" applyAlignment="1">
      <alignment horizontal="center" vertical="center"/>
    </xf>
    <xf numFmtId="176" fontId="0" fillId="0" borderId="1" xfId="0" applyNumberFormat="1" applyFill="1" applyBorder="1" applyAlignment="1">
      <alignment horizontal="center" vertical="center"/>
    </xf>
    <xf numFmtId="176" fontId="0" fillId="0" borderId="21" xfId="0" applyNumberFormat="1" applyFill="1" applyBorder="1" applyAlignment="1">
      <alignment horizontal="center" vertical="center"/>
    </xf>
    <xf numFmtId="176" fontId="0" fillId="0" borderId="13" xfId="0" applyNumberFormat="1" applyFill="1" applyBorder="1" applyAlignment="1">
      <alignment horizontal="center" vertical="center"/>
    </xf>
    <xf numFmtId="178" fontId="0" fillId="6" borderId="1" xfId="0" applyNumberFormat="1" applyFill="1" applyBorder="1" applyAlignment="1">
      <alignment horizontal="center" vertical="center"/>
    </xf>
    <xf numFmtId="178" fontId="0" fillId="6" borderId="21" xfId="0" applyNumberFormat="1" applyFill="1" applyBorder="1" applyAlignment="1">
      <alignment horizontal="center" vertical="center"/>
    </xf>
    <xf numFmtId="178" fontId="0" fillId="6" borderId="13" xfId="0" applyNumberFormat="1" applyFill="1" applyBorder="1" applyAlignment="1">
      <alignment horizontal="center" vertical="center"/>
    </xf>
    <xf numFmtId="0" fontId="0" fillId="0" borderId="1" xfId="0" applyBorder="1" applyAlignment="1">
      <alignment vertical="center" shrinkToFit="1"/>
    </xf>
    <xf numFmtId="0" fontId="0" fillId="0" borderId="21" xfId="0" applyBorder="1" applyAlignment="1">
      <alignment vertical="center" shrinkToFit="1"/>
    </xf>
    <xf numFmtId="0" fontId="0" fillId="0" borderId="13" xfId="0" applyBorder="1" applyAlignment="1">
      <alignment vertical="center" shrinkToFit="1"/>
    </xf>
    <xf numFmtId="0" fontId="0" fillId="0" borderId="1" xfId="0" applyBorder="1" applyAlignment="1">
      <alignment horizontal="center" vertical="center" shrinkToFit="1"/>
    </xf>
    <xf numFmtId="0" fontId="0" fillId="0" borderId="21" xfId="0" applyBorder="1" applyAlignment="1">
      <alignment horizontal="center" vertical="center" shrinkToFit="1"/>
    </xf>
    <xf numFmtId="0" fontId="0" fillId="0" borderId="13" xfId="0" applyBorder="1" applyAlignment="1">
      <alignment horizontal="center" vertical="center" shrinkToFit="1"/>
    </xf>
    <xf numFmtId="0" fontId="0" fillId="0" borderId="1" xfId="0" applyBorder="1" applyAlignment="1">
      <alignment horizontal="center" vertical="center"/>
    </xf>
    <xf numFmtId="0" fontId="0" fillId="0" borderId="21" xfId="0" applyBorder="1" applyAlignment="1">
      <alignment horizontal="center" vertical="center"/>
    </xf>
    <xf numFmtId="0" fontId="0" fillId="0" borderId="13" xfId="0" applyBorder="1" applyAlignment="1">
      <alignment horizontal="center" vertical="center"/>
    </xf>
    <xf numFmtId="0" fontId="0" fillId="6" borderId="1" xfId="0" applyFill="1" applyBorder="1" applyAlignment="1">
      <alignment horizontal="center" vertical="center"/>
    </xf>
    <xf numFmtId="0" fontId="0" fillId="6" borderId="21" xfId="0" applyFill="1" applyBorder="1" applyAlignment="1">
      <alignment horizontal="center" vertical="center"/>
    </xf>
    <xf numFmtId="0" fontId="0" fillId="6" borderId="13" xfId="0" applyFill="1" applyBorder="1" applyAlignment="1">
      <alignment horizontal="center" vertical="center"/>
    </xf>
    <xf numFmtId="0" fontId="6" fillId="0" borderId="1" xfId="0" applyFont="1" applyBorder="1" applyAlignment="1">
      <alignment horizontal="center" vertical="center" shrinkToFit="1"/>
    </xf>
    <xf numFmtId="0" fontId="6" fillId="0" borderId="21" xfId="0" applyFont="1" applyBorder="1" applyAlignment="1">
      <alignment horizontal="center" vertical="center" shrinkToFit="1"/>
    </xf>
    <xf numFmtId="0" fontId="6" fillId="0" borderId="13" xfId="0" applyFont="1" applyBorder="1" applyAlignment="1">
      <alignment horizontal="center" vertical="center" shrinkToFit="1"/>
    </xf>
    <xf numFmtId="0" fontId="0" fillId="0" borderId="16" xfId="0" applyNumberFormat="1" applyFill="1" applyBorder="1" applyAlignment="1">
      <alignment horizontal="left" vertical="center"/>
    </xf>
    <xf numFmtId="0" fontId="0" fillId="0" borderId="26" xfId="0" applyNumberFormat="1" applyFill="1" applyBorder="1" applyAlignment="1">
      <alignment horizontal="left" vertical="center"/>
    </xf>
    <xf numFmtId="0" fontId="0" fillId="0" borderId="27" xfId="0" applyNumberFormat="1" applyFill="1" applyBorder="1" applyAlignment="1">
      <alignment horizontal="left" vertical="center"/>
    </xf>
    <xf numFmtId="0" fontId="0" fillId="0" borderId="1" xfId="0" applyFill="1" applyBorder="1" applyAlignment="1">
      <alignment vertical="center" shrinkToFit="1"/>
    </xf>
    <xf numFmtId="0" fontId="0" fillId="0" borderId="21" xfId="0" applyFill="1" applyBorder="1" applyAlignment="1">
      <alignment vertical="center" shrinkToFit="1"/>
    </xf>
    <xf numFmtId="0" fontId="0" fillId="0" borderId="13" xfId="0" applyFill="1" applyBorder="1" applyAlignment="1">
      <alignment vertical="center" shrinkToFit="1"/>
    </xf>
    <xf numFmtId="0" fontId="0" fillId="0" borderId="1" xfId="0" applyFill="1" applyBorder="1" applyAlignment="1">
      <alignment horizontal="center" vertical="center" shrinkToFit="1"/>
    </xf>
    <xf numFmtId="0" fontId="0" fillId="0" borderId="21" xfId="0" applyFill="1" applyBorder="1" applyAlignment="1">
      <alignment horizontal="center" vertical="center" shrinkToFit="1"/>
    </xf>
    <xf numFmtId="0" fontId="0" fillId="0" borderId="13" xfId="0" applyFill="1" applyBorder="1" applyAlignment="1">
      <alignment horizontal="center" vertical="center" shrinkToFit="1"/>
    </xf>
    <xf numFmtId="0" fontId="0" fillId="0" borderId="1" xfId="0" applyFill="1" applyBorder="1" applyAlignment="1">
      <alignment horizontal="center" vertical="center"/>
    </xf>
    <xf numFmtId="0" fontId="0" fillId="0" borderId="21" xfId="0" applyFill="1" applyBorder="1" applyAlignment="1">
      <alignment horizontal="center" vertical="center"/>
    </xf>
    <xf numFmtId="0" fontId="0" fillId="0" borderId="13" xfId="0" applyFill="1" applyBorder="1" applyAlignment="1">
      <alignment horizontal="center" vertical="center"/>
    </xf>
    <xf numFmtId="177" fontId="0" fillId="5" borderId="17" xfId="0" applyNumberFormat="1" applyFill="1" applyBorder="1" applyAlignment="1">
      <alignment horizontal="center" vertical="center"/>
    </xf>
    <xf numFmtId="177" fontId="0" fillId="5" borderId="25" xfId="0" applyNumberFormat="1" applyFill="1" applyBorder="1" applyAlignment="1">
      <alignment horizontal="center" vertical="center"/>
    </xf>
    <xf numFmtId="177" fontId="0" fillId="5" borderId="20" xfId="0" applyNumberFormat="1" applyFill="1" applyBorder="1" applyAlignment="1">
      <alignment horizontal="center" vertical="center"/>
    </xf>
    <xf numFmtId="0" fontId="4" fillId="0" borderId="0" xfId="0" applyFont="1" applyAlignment="1">
      <alignment horizontal="center" vertical="center"/>
    </xf>
    <xf numFmtId="0" fontId="0" fillId="6" borderId="19" xfId="0" applyFill="1" applyBorder="1" applyAlignment="1">
      <alignment horizontal="center" vertical="center"/>
    </xf>
    <xf numFmtId="0" fontId="0" fillId="6" borderId="19" xfId="0" applyFill="1" applyBorder="1" applyAlignment="1">
      <alignment horizontal="center" vertical="center" shrinkToFit="1"/>
    </xf>
    <xf numFmtId="0" fontId="0" fillId="0" borderId="14" xfId="0" applyFill="1" applyBorder="1" applyAlignment="1">
      <alignment horizontal="center" vertical="center" wrapText="1"/>
    </xf>
    <xf numFmtId="0" fontId="0" fillId="0" borderId="15" xfId="0" applyFill="1" applyBorder="1" applyAlignment="1">
      <alignment horizontal="center" vertical="center"/>
    </xf>
    <xf numFmtId="0" fontId="0" fillId="0" borderId="31" xfId="0" applyNumberFormat="1" applyFill="1" applyBorder="1" applyAlignment="1">
      <alignment horizontal="center" vertical="center" shrinkToFit="1"/>
    </xf>
    <xf numFmtId="0" fontId="0" fillId="0" borderId="5" xfId="0" applyNumberFormat="1" applyFill="1" applyBorder="1" applyAlignment="1">
      <alignment horizontal="center" vertical="center" shrinkToFit="1"/>
    </xf>
    <xf numFmtId="177" fontId="0" fillId="8" borderId="17" xfId="0" applyNumberFormat="1" applyFill="1" applyBorder="1" applyAlignment="1">
      <alignment horizontal="center" vertical="center"/>
    </xf>
    <xf numFmtId="177" fontId="0" fillId="8" borderId="25" xfId="0" applyNumberFormat="1" applyFill="1" applyBorder="1" applyAlignment="1">
      <alignment horizontal="center" vertical="center"/>
    </xf>
    <xf numFmtId="177" fontId="0" fillId="8" borderId="20" xfId="0" applyNumberFormat="1" applyFill="1" applyBorder="1" applyAlignment="1">
      <alignment horizontal="center" vertical="center"/>
    </xf>
    <xf numFmtId="1" fontId="0" fillId="6" borderId="1" xfId="0" applyNumberFormat="1" applyFill="1" applyBorder="1" applyAlignment="1">
      <alignment horizontal="center" vertical="center"/>
    </xf>
    <xf numFmtId="1" fontId="0" fillId="6" borderId="13" xfId="0" applyNumberFormat="1" applyFill="1" applyBorder="1" applyAlignment="1">
      <alignment horizontal="center" vertical="center"/>
    </xf>
    <xf numFmtId="0" fontId="4" fillId="0" borderId="0" xfId="0" applyFont="1" applyFill="1" applyAlignment="1">
      <alignment horizontal="center" vertical="center"/>
    </xf>
    <xf numFmtId="0" fontId="0" fillId="0" borderId="35" xfId="0" applyNumberFormat="1" applyBorder="1">
      <alignment vertical="center"/>
    </xf>
    <xf numFmtId="0" fontId="0" fillId="0" borderId="28" xfId="0" applyNumberFormat="1" applyBorder="1">
      <alignment vertical="center"/>
    </xf>
    <xf numFmtId="0" fontId="0" fillId="0" borderId="29" xfId="0" applyNumberFormat="1" applyBorder="1">
      <alignment vertical="center"/>
    </xf>
    <xf numFmtId="0" fontId="0" fillId="0" borderId="35" xfId="0" applyNumberFormat="1" applyBorder="1" applyAlignment="1">
      <alignment vertical="center"/>
    </xf>
    <xf numFmtId="0" fontId="0" fillId="0" borderId="28" xfId="0" applyBorder="1" applyAlignment="1">
      <alignment vertical="center"/>
    </xf>
    <xf numFmtId="0" fontId="0" fillId="0" borderId="29" xfId="0" applyBorder="1" applyAlignment="1">
      <alignment vertical="center"/>
    </xf>
    <xf numFmtId="0" fontId="0" fillId="0" borderId="22" xfId="0" applyNumberFormat="1" applyFill="1" applyBorder="1" applyAlignment="1">
      <alignment horizontal="center" vertical="center"/>
    </xf>
    <xf numFmtId="0" fontId="0" fillId="0" borderId="0" xfId="0" applyNumberFormat="1" applyFill="1" applyBorder="1" applyAlignment="1">
      <alignment horizontal="center" vertical="center"/>
    </xf>
    <xf numFmtId="0" fontId="0" fillId="0" borderId="36" xfId="0" applyNumberFormat="1" applyFill="1" applyBorder="1" applyAlignment="1">
      <alignment horizontal="center" vertical="center"/>
    </xf>
    <xf numFmtId="177" fontId="0" fillId="9" borderId="17" xfId="0" applyNumberFormat="1" applyFill="1" applyBorder="1" applyAlignment="1">
      <alignment horizontal="center" vertical="center"/>
    </xf>
  </cellXfs>
  <cellStyles count="1">
    <cellStyle name="標準" xfId="0" builtinId="0"/>
  </cellStyles>
  <dxfs count="7">
    <dxf>
      <fill>
        <patternFill>
          <bgColor theme="0" tint="-0.14996795556505021"/>
        </patternFill>
      </fill>
    </dxf>
    <dxf>
      <fill>
        <patternFill>
          <bgColor rgb="FF00B0F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00B0F0"/>
        </patternFill>
      </fill>
    </dxf>
  </dxfs>
  <tableStyles count="0" defaultTableStyle="TableStyleMedium9" defaultPivotStyle="PivotStyleLight16"/>
  <colors>
    <mruColors>
      <color rgb="FFCCECFF"/>
      <color rgb="FFCCFFFF"/>
      <color rgb="FFFFFFCC"/>
      <color rgb="FF00B0F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19</xdr:col>
      <xdr:colOff>190502</xdr:colOff>
      <xdr:row>70</xdr:row>
      <xdr:rowOff>4079</xdr:rowOff>
    </xdr:from>
    <xdr:to>
      <xdr:col>35</xdr:col>
      <xdr:colOff>204109</xdr:colOff>
      <xdr:row>78</xdr:row>
      <xdr:rowOff>81640</xdr:rowOff>
    </xdr:to>
    <xdr:sp macro="" textlink="">
      <xdr:nvSpPr>
        <xdr:cNvPr id="2" name="角丸四角形吹き出し 1">
          <a:extLst>
            <a:ext uri="{FF2B5EF4-FFF2-40B4-BE49-F238E27FC236}">
              <a16:creationId xmlns:a16="http://schemas.microsoft.com/office/drawing/2014/main" id="{00000000-0008-0000-0000-000002000000}"/>
            </a:ext>
          </a:extLst>
        </xdr:cNvPr>
        <xdr:cNvSpPr/>
      </xdr:nvSpPr>
      <xdr:spPr>
        <a:xfrm>
          <a:off x="7279823" y="12672329"/>
          <a:ext cx="4803322" cy="1492704"/>
        </a:xfrm>
        <a:prstGeom prst="wedgeRoundRectCallout">
          <a:avLst>
            <a:gd name="adj1" fmla="val 48075"/>
            <a:gd name="adj2" fmla="val -60856"/>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①有休取得希望日を入力。</a:t>
          </a:r>
          <a:endParaRPr kumimoji="1" lang="en-US" altLang="ja-JP" sz="1100"/>
        </a:p>
        <a:p>
          <a:pPr algn="l"/>
          <a:r>
            <a:rPr kumimoji="1" lang="ja-JP" altLang="en-US" sz="1100"/>
            <a:t>②半日取得の場合は日付のあとに</a:t>
          </a:r>
          <a:r>
            <a:rPr kumimoji="1" lang="en-US" altLang="ja-JP" sz="1100"/>
            <a:t>A(</a:t>
          </a:r>
          <a:r>
            <a:rPr kumimoji="1" lang="ja-JP" altLang="en-US" sz="1100"/>
            <a:t>午前）または</a:t>
          </a:r>
          <a:r>
            <a:rPr kumimoji="1" lang="en-US" altLang="ja-JP" sz="1100"/>
            <a:t>P</a:t>
          </a:r>
          <a:r>
            <a:rPr kumimoji="1" lang="ja-JP" altLang="en-US" sz="1100"/>
            <a:t>（午後）を付ける。</a:t>
          </a:r>
          <a:endParaRPr kumimoji="1" lang="en-US" altLang="ja-JP" sz="1100"/>
        </a:p>
        <a:p>
          <a:pPr algn="l"/>
          <a:r>
            <a:rPr kumimoji="1" lang="ja-JP" altLang="en-US" sz="1100"/>
            <a:t>③月に</a:t>
          </a:r>
          <a:r>
            <a:rPr kumimoji="1" lang="en-US" altLang="ja-JP" sz="1100"/>
            <a:t>5.0</a:t>
          </a:r>
          <a:r>
            <a:rPr kumimoji="1" lang="ja-JP" altLang="en-US" sz="1100"/>
            <a:t>日以上取得する場合はコメントを入れる。</a:t>
          </a:r>
          <a:endParaRPr kumimoji="1" lang="en-US" altLang="ja-JP" sz="1100"/>
        </a:p>
        <a:p>
          <a:pPr algn="l"/>
          <a:endParaRPr kumimoji="1" lang="en-US" altLang="ja-JP" sz="1100"/>
        </a:p>
        <a:p>
          <a:pPr algn="l"/>
          <a:r>
            <a:rPr kumimoji="1" lang="en-US" altLang="ja-JP" sz="1400"/>
            <a:t>※</a:t>
          </a:r>
          <a:r>
            <a:rPr kumimoji="1" lang="ja-JP" altLang="en-US" sz="1400"/>
            <a:t>計画は</a:t>
          </a:r>
          <a:r>
            <a:rPr kumimoji="1" lang="en-US" altLang="ja-JP" sz="1400"/>
            <a:t>1</a:t>
          </a:r>
          <a:r>
            <a:rPr kumimoji="1" lang="ja-JP" altLang="en-US" sz="1400"/>
            <a:t>か月に</a:t>
          </a:r>
          <a:r>
            <a:rPr kumimoji="1" lang="en-US" altLang="ja-JP" sz="1400"/>
            <a:t>1</a:t>
          </a:r>
          <a:r>
            <a:rPr kumimoji="1" lang="ja-JP" altLang="en-US" sz="1400"/>
            <a:t>回，月始めに見直しをお願いします。</a:t>
          </a:r>
          <a:endParaRPr kumimoji="1" lang="en-US" altLang="ja-JP" sz="1400"/>
        </a:p>
        <a:p>
          <a:pPr algn="l"/>
          <a:r>
            <a:rPr kumimoji="1" lang="en-US" altLang="ja-JP" sz="1400"/>
            <a:t>※</a:t>
          </a:r>
          <a:r>
            <a:rPr kumimoji="1" lang="ja-JP" altLang="en-US" sz="1400"/>
            <a:t>計画はだいたいの時季でも問題ありません。</a:t>
          </a:r>
        </a:p>
      </xdr:txBody>
    </xdr:sp>
    <xdr:clientData/>
  </xdr:twoCellAnchor>
  <xdr:twoCellAnchor>
    <xdr:from>
      <xdr:col>37</xdr:col>
      <xdr:colOff>160563</xdr:colOff>
      <xdr:row>70</xdr:row>
      <xdr:rowOff>55789</xdr:rowOff>
    </xdr:from>
    <xdr:to>
      <xdr:col>56</xdr:col>
      <xdr:colOff>83001</xdr:colOff>
      <xdr:row>75</xdr:row>
      <xdr:rowOff>28576</xdr:rowOff>
    </xdr:to>
    <xdr:sp macro="" textlink="">
      <xdr:nvSpPr>
        <xdr:cNvPr id="3" name="角丸四角形吹き出し 2">
          <a:extLst>
            <a:ext uri="{FF2B5EF4-FFF2-40B4-BE49-F238E27FC236}">
              <a16:creationId xmlns:a16="http://schemas.microsoft.com/office/drawing/2014/main" id="{00000000-0008-0000-0000-000003000000}"/>
            </a:ext>
            <a:ext uri="{147F2762-F138-4A5C-976F-8EAC2B608ADB}">
              <a16:predDERef xmlns:a16="http://schemas.microsoft.com/office/drawing/2014/main" pred="{00000000-0008-0000-0000-000002000000}"/>
            </a:ext>
          </a:extLst>
        </xdr:cNvPr>
        <xdr:cNvSpPr/>
      </xdr:nvSpPr>
      <xdr:spPr>
        <a:xfrm>
          <a:off x="12638313" y="12724039"/>
          <a:ext cx="5610224" cy="857251"/>
        </a:xfrm>
        <a:prstGeom prst="wedgeRoundRectCallout">
          <a:avLst>
            <a:gd name="adj1" fmla="val -55235"/>
            <a:gd name="adj2" fmla="val -86441"/>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④月毎の取得計画日数は手動で入力。</a:t>
          </a:r>
          <a:endParaRPr kumimoji="1" lang="en-US" altLang="ja-JP" sz="1100"/>
        </a:p>
        <a:p>
          <a:pPr algn="l"/>
          <a:endParaRPr kumimoji="1" lang="en-US" altLang="ja-JP" sz="1100"/>
        </a:p>
        <a:p>
          <a:pPr algn="l"/>
          <a:r>
            <a:rPr kumimoji="1" lang="en-US" altLang="ja-JP" sz="1400"/>
            <a:t>※</a:t>
          </a:r>
          <a:r>
            <a:rPr kumimoji="1" lang="ja-JP" altLang="en-US" sz="1400"/>
            <a:t>計画日数∔既取得日数で</a:t>
          </a:r>
          <a:r>
            <a:rPr kumimoji="1" lang="en-US" altLang="ja-JP" sz="1400"/>
            <a:t>5.0</a:t>
          </a:r>
          <a:r>
            <a:rPr kumimoji="1" lang="ja-JP" altLang="en-US" sz="1400"/>
            <a:t>日以上となるよう計画して下さい。</a:t>
          </a:r>
          <a:endParaRPr kumimoji="1" lang="en-US" altLang="ja-JP" sz="1400"/>
        </a:p>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xdr:from>
          <xdr:col>77</xdr:col>
          <xdr:colOff>200025</xdr:colOff>
          <xdr:row>5</xdr:row>
          <xdr:rowOff>0</xdr:rowOff>
        </xdr:from>
        <xdr:to>
          <xdr:col>78</xdr:col>
          <xdr:colOff>38100</xdr:colOff>
          <xdr:row>6</xdr:row>
          <xdr:rowOff>66675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終了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77</xdr:col>
          <xdr:colOff>190500</xdr:colOff>
          <xdr:row>7</xdr:row>
          <xdr:rowOff>114300</xdr:rowOff>
        </xdr:from>
        <xdr:to>
          <xdr:col>78</xdr:col>
          <xdr:colOff>533400</xdr:colOff>
          <xdr:row>9</xdr:row>
          <xdr:rowOff>76200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終了取り消し</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18</xdr:col>
      <xdr:colOff>54430</xdr:colOff>
      <xdr:row>48</xdr:row>
      <xdr:rowOff>167366</xdr:rowOff>
    </xdr:from>
    <xdr:to>
      <xdr:col>34</xdr:col>
      <xdr:colOff>68037</xdr:colOff>
      <xdr:row>57</xdr:row>
      <xdr:rowOff>68034</xdr:rowOff>
    </xdr:to>
    <xdr:sp macro="" textlink="">
      <xdr:nvSpPr>
        <xdr:cNvPr id="2" name="角丸四角形吹き出し 1">
          <a:extLst>
            <a:ext uri="{FF2B5EF4-FFF2-40B4-BE49-F238E27FC236}">
              <a16:creationId xmlns:a16="http://schemas.microsoft.com/office/drawing/2014/main" id="{00000000-0008-0000-0100-000002000000}"/>
            </a:ext>
          </a:extLst>
        </xdr:cNvPr>
        <xdr:cNvSpPr/>
      </xdr:nvSpPr>
      <xdr:spPr>
        <a:xfrm>
          <a:off x="6893380" y="8692241"/>
          <a:ext cx="4890407" cy="1443718"/>
        </a:xfrm>
        <a:prstGeom prst="wedgeRoundRectCallout">
          <a:avLst>
            <a:gd name="adj1" fmla="val 48075"/>
            <a:gd name="adj2" fmla="val -60856"/>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①有休取得希望日を入力。</a:t>
          </a:r>
          <a:endParaRPr kumimoji="1" lang="en-US" altLang="ja-JP" sz="1100"/>
        </a:p>
        <a:p>
          <a:pPr algn="l"/>
          <a:r>
            <a:rPr kumimoji="1" lang="ja-JP" altLang="en-US" sz="1100"/>
            <a:t>②半日取得の場合は日付のあとに</a:t>
          </a:r>
          <a:r>
            <a:rPr kumimoji="1" lang="en-US" altLang="ja-JP" sz="1100"/>
            <a:t>A(</a:t>
          </a:r>
          <a:r>
            <a:rPr kumimoji="1" lang="ja-JP" altLang="en-US" sz="1100"/>
            <a:t>午前）または</a:t>
          </a:r>
          <a:r>
            <a:rPr kumimoji="1" lang="en-US" altLang="ja-JP" sz="1100"/>
            <a:t>P</a:t>
          </a:r>
          <a:r>
            <a:rPr kumimoji="1" lang="ja-JP" altLang="en-US" sz="1100"/>
            <a:t>（午後）を付ける。</a:t>
          </a:r>
          <a:endParaRPr kumimoji="1" lang="en-US" altLang="ja-JP" sz="1100"/>
        </a:p>
        <a:p>
          <a:pPr algn="l"/>
          <a:r>
            <a:rPr kumimoji="1" lang="ja-JP" altLang="en-US" sz="1100"/>
            <a:t>③月に</a:t>
          </a:r>
          <a:r>
            <a:rPr kumimoji="1" lang="en-US" altLang="ja-JP" sz="1100"/>
            <a:t>5.0</a:t>
          </a:r>
          <a:r>
            <a:rPr kumimoji="1" lang="ja-JP" altLang="en-US" sz="1100"/>
            <a:t>日以上取得する場合はコメントを入れる。</a:t>
          </a:r>
          <a:endParaRPr kumimoji="1" lang="en-US" altLang="ja-JP" sz="1100"/>
        </a:p>
        <a:p>
          <a:pPr algn="l"/>
          <a:endParaRPr kumimoji="1" lang="en-US" altLang="ja-JP" sz="1100"/>
        </a:p>
        <a:p>
          <a:pPr algn="l"/>
          <a:r>
            <a:rPr kumimoji="1" lang="en-US" altLang="ja-JP" sz="1400"/>
            <a:t>※</a:t>
          </a:r>
          <a:r>
            <a:rPr kumimoji="1" lang="ja-JP" altLang="en-US" sz="1400"/>
            <a:t>計画は</a:t>
          </a:r>
          <a:r>
            <a:rPr kumimoji="1" lang="en-US" altLang="ja-JP" sz="1400"/>
            <a:t>1</a:t>
          </a:r>
          <a:r>
            <a:rPr kumimoji="1" lang="ja-JP" altLang="en-US" sz="1400"/>
            <a:t>か月に</a:t>
          </a:r>
          <a:r>
            <a:rPr kumimoji="1" lang="en-US" altLang="ja-JP" sz="1400"/>
            <a:t>1</a:t>
          </a:r>
          <a:r>
            <a:rPr kumimoji="1" lang="ja-JP" altLang="en-US" sz="1400"/>
            <a:t>回，月始めに見直しをお願いします。</a:t>
          </a:r>
          <a:endParaRPr kumimoji="1" lang="en-US" altLang="ja-JP" sz="1400"/>
        </a:p>
        <a:p>
          <a:pPr algn="l"/>
          <a:r>
            <a:rPr kumimoji="1" lang="en-US" altLang="ja-JP" sz="1400"/>
            <a:t>※</a:t>
          </a:r>
          <a:r>
            <a:rPr kumimoji="1" lang="ja-JP" altLang="en-US" sz="1400"/>
            <a:t>計画はだいたいの時季でも問題ありません。</a:t>
          </a:r>
        </a:p>
      </xdr:txBody>
    </xdr:sp>
    <xdr:clientData/>
  </xdr:twoCellAnchor>
  <xdr:twoCellAnchor>
    <xdr:from>
      <xdr:col>38</xdr:col>
      <xdr:colOff>68034</xdr:colOff>
      <xdr:row>48</xdr:row>
      <xdr:rowOff>95250</xdr:rowOff>
    </xdr:from>
    <xdr:to>
      <xdr:col>57</xdr:col>
      <xdr:colOff>13605</xdr:colOff>
      <xdr:row>53</xdr:row>
      <xdr:rowOff>68036</xdr:rowOff>
    </xdr:to>
    <xdr:sp macro="" textlink="">
      <xdr:nvSpPr>
        <xdr:cNvPr id="3" name="角丸四角形吹き出し 2">
          <a:extLst>
            <a:ext uri="{FF2B5EF4-FFF2-40B4-BE49-F238E27FC236}">
              <a16:creationId xmlns:a16="http://schemas.microsoft.com/office/drawing/2014/main" id="{00000000-0008-0000-0100-000003000000}"/>
            </a:ext>
          </a:extLst>
        </xdr:cNvPr>
        <xdr:cNvSpPr/>
      </xdr:nvSpPr>
      <xdr:spPr>
        <a:xfrm>
          <a:off x="13002984" y="8620125"/>
          <a:ext cx="5736771" cy="830036"/>
        </a:xfrm>
        <a:prstGeom prst="wedgeRoundRectCallout">
          <a:avLst>
            <a:gd name="adj1" fmla="val -55235"/>
            <a:gd name="adj2" fmla="val -86441"/>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④月毎の取得計画日数は手動で入力。</a:t>
          </a:r>
          <a:endParaRPr kumimoji="1" lang="en-US" altLang="ja-JP" sz="1100"/>
        </a:p>
        <a:p>
          <a:pPr algn="l"/>
          <a:endParaRPr kumimoji="1" lang="en-US" altLang="ja-JP" sz="1100"/>
        </a:p>
        <a:p>
          <a:pPr algn="l"/>
          <a:r>
            <a:rPr kumimoji="1" lang="en-US" altLang="ja-JP" sz="1400"/>
            <a:t>※</a:t>
          </a:r>
          <a:r>
            <a:rPr kumimoji="1" lang="ja-JP" altLang="en-US" sz="1400"/>
            <a:t>計画日数∔既取得日数で</a:t>
          </a:r>
          <a:r>
            <a:rPr kumimoji="1" lang="en-US" altLang="ja-JP" sz="1400"/>
            <a:t>5.0</a:t>
          </a:r>
          <a:r>
            <a:rPr kumimoji="1" lang="ja-JP" altLang="en-US" sz="1400"/>
            <a:t>日以上となるよう計画して下さい。</a:t>
          </a:r>
          <a:endParaRPr kumimoji="1" lang="en-US" altLang="ja-JP" sz="1400"/>
        </a:p>
        <a:p>
          <a:pPr algn="l"/>
          <a:endParaRPr kumimoji="1" lang="ja-JP" altLang="en-US" sz="1100"/>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BZ83"/>
  <sheetViews>
    <sheetView showGridLines="0" tabSelected="1" zoomScale="50" zoomScaleNormal="50" workbookViewId="0">
      <pane xSplit="9" ySplit="4" topLeftCell="J5" activePane="bottomRight" state="frozen"/>
      <selection pane="topRight" activeCell="J1" sqref="J1"/>
      <selection pane="bottomLeft" activeCell="A5" sqref="A5"/>
      <selection pane="bottomRight" activeCell="J35" sqref="J35:N35"/>
    </sheetView>
  </sheetViews>
  <sheetFormatPr defaultRowHeight="13.5"/>
  <cols>
    <col min="1" max="1" width="0.625" customWidth="1"/>
    <col min="2" max="3" width="9.875" customWidth="1"/>
    <col min="4" max="4" width="3.625" customWidth="1"/>
    <col min="5" max="5" width="5.375" customWidth="1"/>
    <col min="6" max="8" width="6.375" style="6" customWidth="1"/>
    <col min="9" max="9" width="5.25" customWidth="1"/>
    <col min="10" max="68" width="4" style="24" customWidth="1"/>
    <col min="69" max="69" width="4.5" style="24" customWidth="1"/>
    <col min="70" max="71" width="5.875" customWidth="1"/>
    <col min="72" max="72" width="5.875" style="6" customWidth="1"/>
    <col min="73" max="73" width="0.75" customWidth="1"/>
    <col min="74" max="74" width="10.375" bestFit="1" customWidth="1"/>
    <col min="75" max="75" width="10.875" customWidth="1"/>
    <col min="77" max="77" width="13.25" customWidth="1"/>
  </cols>
  <sheetData>
    <row r="1" spans="1:78" ht="21">
      <c r="B1" s="134" t="s">
        <v>0</v>
      </c>
      <c r="C1" s="134"/>
      <c r="D1" s="134"/>
      <c r="E1" s="134"/>
      <c r="F1" s="134"/>
      <c r="G1" s="134"/>
      <c r="H1" s="134"/>
      <c r="I1" s="134"/>
      <c r="J1" s="134"/>
      <c r="K1" s="134"/>
      <c r="L1" s="134"/>
      <c r="M1" s="134"/>
      <c r="N1" s="134"/>
      <c r="O1" s="134"/>
      <c r="P1" s="134"/>
      <c r="Q1" s="134"/>
      <c r="R1" s="134"/>
      <c r="S1" s="134"/>
      <c r="T1" s="134"/>
      <c r="U1" s="134"/>
      <c r="V1" s="134"/>
      <c r="W1" s="134"/>
      <c r="X1" s="134"/>
      <c r="Y1" s="134"/>
      <c r="Z1" s="134"/>
      <c r="AA1" s="134"/>
      <c r="AB1" s="134"/>
      <c r="AC1" s="134"/>
      <c r="AD1" s="134"/>
      <c r="AE1" s="134"/>
      <c r="AF1" s="134"/>
      <c r="AG1" s="134"/>
      <c r="AH1" s="134"/>
      <c r="AI1" s="134"/>
      <c r="AJ1" s="134"/>
      <c r="AK1" s="134"/>
      <c r="AL1" s="134"/>
      <c r="AM1" s="134"/>
      <c r="AN1" s="134"/>
      <c r="AO1" s="134"/>
      <c r="AP1" s="134"/>
      <c r="AQ1" s="134"/>
      <c r="AR1" s="134"/>
      <c r="AS1" s="134"/>
      <c r="AT1" s="134"/>
      <c r="AU1" s="134"/>
      <c r="AV1" s="134"/>
      <c r="AW1" s="134"/>
      <c r="AX1" s="134"/>
      <c r="AY1" s="134"/>
      <c r="AZ1" s="134"/>
      <c r="BA1" s="134"/>
      <c r="BB1" s="134"/>
      <c r="BC1" s="134"/>
      <c r="BD1" s="134"/>
      <c r="BE1" s="134"/>
      <c r="BF1" s="134"/>
      <c r="BG1" s="134"/>
      <c r="BH1" s="134"/>
      <c r="BI1" s="134"/>
      <c r="BJ1" s="134"/>
      <c r="BK1" s="134"/>
      <c r="BL1" s="134"/>
      <c r="BM1" s="134"/>
      <c r="BN1" s="134"/>
      <c r="BO1" s="134"/>
      <c r="BP1" s="134"/>
      <c r="BQ1" s="134"/>
      <c r="BR1" s="134"/>
      <c r="BS1" s="134"/>
      <c r="BT1" s="134"/>
      <c r="BU1" s="2"/>
      <c r="BV1" s="21">
        <v>44287</v>
      </c>
      <c r="BW1" t="s">
        <v>1</v>
      </c>
      <c r="BY1" s="25">
        <f ca="1">TODAY()</f>
        <v>44309</v>
      </c>
      <c r="BZ1" s="10" t="s">
        <v>2</v>
      </c>
    </row>
    <row r="2" spans="1:78">
      <c r="A2" s="2"/>
      <c r="B2" s="4"/>
      <c r="C2" s="4"/>
      <c r="D2" s="3"/>
      <c r="E2" s="2"/>
      <c r="F2" s="5"/>
      <c r="G2" s="5"/>
      <c r="H2" s="5"/>
      <c r="I2" s="2"/>
      <c r="J2" s="29"/>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c r="BA2" s="29"/>
      <c r="BB2" s="29"/>
      <c r="BC2" s="29"/>
      <c r="BD2" s="29"/>
      <c r="BE2" s="29"/>
      <c r="BF2" s="29"/>
      <c r="BG2" s="29"/>
      <c r="BH2" s="29"/>
      <c r="BI2" s="29"/>
      <c r="BJ2" s="29"/>
      <c r="BK2" s="29"/>
      <c r="BL2" s="29"/>
      <c r="BM2" s="29"/>
      <c r="BN2" s="29"/>
      <c r="BO2" s="29"/>
      <c r="BP2" s="29"/>
      <c r="BQ2" s="29"/>
      <c r="BS2" s="2"/>
      <c r="BT2" s="5"/>
      <c r="BU2" s="2"/>
      <c r="BY2" s="10">
        <f ca="1">YEAR(BY1)</f>
        <v>2021</v>
      </c>
      <c r="BZ2" s="10" t="s">
        <v>3</v>
      </c>
    </row>
    <row r="3" spans="1:78">
      <c r="A3" s="2"/>
      <c r="B3" s="2"/>
      <c r="C3" s="2"/>
      <c r="D3" s="2"/>
      <c r="E3" s="2"/>
      <c r="F3" s="5"/>
      <c r="G3" s="5"/>
      <c r="H3" s="5"/>
      <c r="I3" s="2"/>
      <c r="J3" s="29"/>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c r="AL3" s="29"/>
      <c r="AM3" s="29"/>
      <c r="AN3" s="29"/>
      <c r="AO3" s="29"/>
      <c r="AP3" s="29"/>
      <c r="AQ3" s="29"/>
      <c r="AR3" s="29"/>
      <c r="AS3" s="29"/>
      <c r="AT3" s="29"/>
      <c r="AU3" s="29"/>
      <c r="AV3" s="29"/>
      <c r="AW3" s="29"/>
      <c r="AX3" s="29"/>
      <c r="AY3" s="29"/>
      <c r="AZ3" s="29"/>
      <c r="BA3" s="29"/>
      <c r="BB3" s="29"/>
      <c r="BC3" s="29"/>
      <c r="BH3" s="135" t="s">
        <v>4</v>
      </c>
      <c r="BI3" s="135"/>
      <c r="BJ3" s="135"/>
      <c r="BK3" s="136" t="str">
        <f ca="1">BY2&amp;"年"</f>
        <v>2021年</v>
      </c>
      <c r="BL3" s="136"/>
      <c r="BM3" s="136"/>
      <c r="BN3" s="135" t="str">
        <f ca="1">BY3&amp;"月"</f>
        <v>4月</v>
      </c>
      <c r="BO3" s="135"/>
      <c r="BP3" s="135" t="str">
        <f ca="1">BY4&amp;"日"</f>
        <v>23日</v>
      </c>
      <c r="BQ3" s="135"/>
      <c r="BU3" s="2"/>
      <c r="BY3" s="26">
        <f ca="1">MONTH(BY1)</f>
        <v>4</v>
      </c>
      <c r="BZ3" s="10" t="s">
        <v>5</v>
      </c>
    </row>
    <row r="4" spans="1:78" ht="29.25" customHeight="1">
      <c r="A4" s="2"/>
      <c r="B4" s="7" t="s">
        <v>6</v>
      </c>
      <c r="C4" s="11" t="s">
        <v>7</v>
      </c>
      <c r="D4" s="137" t="s">
        <v>8</v>
      </c>
      <c r="E4" s="138"/>
      <c r="F4" s="8" t="s">
        <v>9</v>
      </c>
      <c r="G4" s="8" t="s">
        <v>10</v>
      </c>
      <c r="H4" s="81" t="s">
        <v>11</v>
      </c>
      <c r="I4" s="7" t="s">
        <v>12</v>
      </c>
      <c r="J4" s="156">
        <v>4</v>
      </c>
      <c r="K4" s="132"/>
      <c r="L4" s="132"/>
      <c r="M4" s="132"/>
      <c r="N4" s="133"/>
      <c r="O4" s="131">
        <v>5</v>
      </c>
      <c r="P4" s="132"/>
      <c r="Q4" s="132"/>
      <c r="R4" s="132"/>
      <c r="S4" s="133"/>
      <c r="T4" s="131">
        <v>6</v>
      </c>
      <c r="U4" s="132"/>
      <c r="V4" s="132"/>
      <c r="W4" s="132"/>
      <c r="X4" s="133"/>
      <c r="Y4" s="131">
        <v>7</v>
      </c>
      <c r="Z4" s="132"/>
      <c r="AA4" s="132"/>
      <c r="AB4" s="132"/>
      <c r="AC4" s="133"/>
      <c r="AD4" s="131">
        <v>8</v>
      </c>
      <c r="AE4" s="132"/>
      <c r="AF4" s="132"/>
      <c r="AG4" s="132"/>
      <c r="AH4" s="133"/>
      <c r="AI4" s="131">
        <v>9</v>
      </c>
      <c r="AJ4" s="132"/>
      <c r="AK4" s="132"/>
      <c r="AL4" s="132"/>
      <c r="AM4" s="133"/>
      <c r="AN4" s="131">
        <v>10</v>
      </c>
      <c r="AO4" s="132"/>
      <c r="AP4" s="132"/>
      <c r="AQ4" s="132"/>
      <c r="AR4" s="133"/>
      <c r="AS4" s="131">
        <v>11</v>
      </c>
      <c r="AT4" s="132"/>
      <c r="AU4" s="132"/>
      <c r="AV4" s="132"/>
      <c r="AW4" s="133"/>
      <c r="AX4" s="131">
        <v>12</v>
      </c>
      <c r="AY4" s="132"/>
      <c r="AZ4" s="132"/>
      <c r="BA4" s="132"/>
      <c r="BB4" s="133"/>
      <c r="BC4" s="131">
        <v>1</v>
      </c>
      <c r="BD4" s="132"/>
      <c r="BE4" s="132"/>
      <c r="BF4" s="132"/>
      <c r="BG4" s="133"/>
      <c r="BH4" s="131">
        <v>2</v>
      </c>
      <c r="BI4" s="132"/>
      <c r="BJ4" s="132"/>
      <c r="BK4" s="132"/>
      <c r="BL4" s="133"/>
      <c r="BM4" s="131">
        <v>3</v>
      </c>
      <c r="BN4" s="132"/>
      <c r="BO4" s="132"/>
      <c r="BP4" s="132"/>
      <c r="BQ4" s="133"/>
      <c r="BR4" s="7" t="s">
        <v>13</v>
      </c>
      <c r="BS4" s="7" t="s">
        <v>14</v>
      </c>
      <c r="BT4" s="9" t="s">
        <v>15</v>
      </c>
      <c r="BU4" s="2"/>
      <c r="BV4" s="23" t="s">
        <v>16</v>
      </c>
      <c r="BW4" s="60" t="s">
        <v>17</v>
      </c>
      <c r="BX4" s="6" t="s">
        <v>18</v>
      </c>
      <c r="BY4" s="26">
        <f ca="1">DAY(BY1)</f>
        <v>23</v>
      </c>
      <c r="BZ4" s="10" t="s">
        <v>19</v>
      </c>
    </row>
    <row r="5" spans="1:78">
      <c r="A5" s="2"/>
      <c r="B5" s="122" t="s">
        <v>20</v>
      </c>
      <c r="C5" s="125" t="s">
        <v>21</v>
      </c>
      <c r="D5" s="44">
        <f>IF(BV5&gt;0,DATEDIF(BV5,$BV$1,"Y"),"")</f>
        <v>32</v>
      </c>
      <c r="E5" s="18" t="s">
        <v>3</v>
      </c>
      <c r="F5" s="110">
        <v>20</v>
      </c>
      <c r="G5" s="110">
        <v>20</v>
      </c>
      <c r="H5" s="113">
        <f>SUM(F5:G7)</f>
        <v>40</v>
      </c>
      <c r="I5" s="19" t="s">
        <v>22</v>
      </c>
      <c r="J5" s="90"/>
      <c r="K5" s="91"/>
      <c r="L5" s="91"/>
      <c r="M5" s="91"/>
      <c r="N5" s="92"/>
      <c r="O5" s="90"/>
      <c r="P5" s="91"/>
      <c r="Q5" s="91"/>
      <c r="R5" s="91"/>
      <c r="S5" s="92"/>
      <c r="T5" s="84"/>
      <c r="U5" s="85"/>
      <c r="V5" s="85"/>
      <c r="W5" s="85"/>
      <c r="X5" s="86"/>
      <c r="Y5" s="84"/>
      <c r="Z5" s="85"/>
      <c r="AA5" s="85"/>
      <c r="AB5" s="85"/>
      <c r="AC5" s="86"/>
      <c r="AD5" s="84"/>
      <c r="AE5" s="85"/>
      <c r="AF5" s="85"/>
      <c r="AG5" s="85"/>
      <c r="AH5" s="86"/>
      <c r="AI5" s="84"/>
      <c r="AJ5" s="85"/>
      <c r="AK5" s="85"/>
      <c r="AL5" s="85"/>
      <c r="AM5" s="86"/>
      <c r="AN5" s="84"/>
      <c r="AO5" s="85"/>
      <c r="AP5" s="85"/>
      <c r="AQ5" s="85"/>
      <c r="AR5" s="86"/>
      <c r="AS5" s="84"/>
      <c r="AT5" s="85"/>
      <c r="AU5" s="85"/>
      <c r="AV5" s="85"/>
      <c r="AW5" s="86"/>
      <c r="AX5" s="84"/>
      <c r="AY5" s="85"/>
      <c r="AZ5" s="85"/>
      <c r="BA5" s="85"/>
      <c r="BB5" s="86"/>
      <c r="BC5" s="84"/>
      <c r="BD5" s="85"/>
      <c r="BE5" s="85"/>
      <c r="BF5" s="85"/>
      <c r="BG5" s="86"/>
      <c r="BH5" s="84"/>
      <c r="BI5" s="85"/>
      <c r="BJ5" s="85"/>
      <c r="BK5" s="85"/>
      <c r="BL5" s="86"/>
      <c r="BM5" s="84"/>
      <c r="BN5" s="85"/>
      <c r="BO5" s="85"/>
      <c r="BP5" s="85"/>
      <c r="BQ5" s="86"/>
      <c r="BR5" s="46" t="str">
        <f>IF(SUM(J5:BQ5)&gt;0,SUM(J5:BQ5),"")</f>
        <v/>
      </c>
      <c r="BS5" s="101">
        <f>H5-SUM(J7:BQ7)</f>
        <v>40</v>
      </c>
      <c r="BT5" s="98"/>
      <c r="BU5" s="2"/>
      <c r="BV5" s="62">
        <v>32599</v>
      </c>
    </row>
    <row r="6" spans="1:78">
      <c r="A6" s="2"/>
      <c r="B6" s="123"/>
      <c r="C6" s="126"/>
      <c r="D6" s="55"/>
      <c r="E6" s="27"/>
      <c r="F6" s="111"/>
      <c r="G6" s="111"/>
      <c r="H6" s="114"/>
      <c r="I6" s="28"/>
      <c r="J6" s="51"/>
      <c r="K6" s="51"/>
      <c r="L6" s="51"/>
      <c r="M6" s="51"/>
      <c r="N6" s="51"/>
      <c r="O6" s="51"/>
      <c r="P6" s="51"/>
      <c r="Q6" s="51"/>
      <c r="R6" s="51"/>
      <c r="S6" s="51"/>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c r="BB6" s="52"/>
      <c r="BC6" s="52"/>
      <c r="BD6" s="52"/>
      <c r="BE6" s="52"/>
      <c r="BF6" s="52"/>
      <c r="BG6" s="52"/>
      <c r="BH6" s="52"/>
      <c r="BI6" s="52"/>
      <c r="BJ6" s="52"/>
      <c r="BK6" s="52"/>
      <c r="BL6" s="52"/>
      <c r="BM6" s="52"/>
      <c r="BN6" s="52"/>
      <c r="BO6" s="52"/>
      <c r="BP6" s="52"/>
      <c r="BQ6" s="52"/>
      <c r="BR6" s="56"/>
      <c r="BS6" s="102"/>
      <c r="BT6" s="99"/>
      <c r="BU6" s="2"/>
      <c r="BV6" s="21"/>
      <c r="BY6" s="83">
        <v>4</v>
      </c>
      <c r="BZ6" s="10" t="s">
        <v>114</v>
      </c>
    </row>
    <row r="7" spans="1:78">
      <c r="A7" s="2"/>
      <c r="B7" s="124"/>
      <c r="C7" s="127"/>
      <c r="D7" s="45">
        <f>IF(BV5&gt;0,DATEDIF(BV5,$BV$1,"YM"),"")</f>
        <v>0</v>
      </c>
      <c r="E7" s="1" t="s">
        <v>23</v>
      </c>
      <c r="F7" s="112"/>
      <c r="G7" s="112"/>
      <c r="H7" s="115"/>
      <c r="I7" s="20" t="s">
        <v>24</v>
      </c>
      <c r="J7" s="93"/>
      <c r="K7" s="94"/>
      <c r="L7" s="94"/>
      <c r="M7" s="94"/>
      <c r="N7" s="95"/>
      <c r="O7" s="93"/>
      <c r="P7" s="94"/>
      <c r="Q7" s="94"/>
      <c r="R7" s="94"/>
      <c r="S7" s="95"/>
      <c r="T7" s="87"/>
      <c r="U7" s="88"/>
      <c r="V7" s="88"/>
      <c r="W7" s="88"/>
      <c r="X7" s="89"/>
      <c r="Y7" s="87"/>
      <c r="Z7" s="88"/>
      <c r="AA7" s="88"/>
      <c r="AB7" s="88"/>
      <c r="AC7" s="89"/>
      <c r="AD7" s="87"/>
      <c r="AE7" s="88"/>
      <c r="AF7" s="88"/>
      <c r="AG7" s="88"/>
      <c r="AH7" s="89"/>
      <c r="AI7" s="87"/>
      <c r="AJ7" s="88"/>
      <c r="AK7" s="88"/>
      <c r="AL7" s="88"/>
      <c r="AM7" s="89"/>
      <c r="AN7" s="87"/>
      <c r="AO7" s="88"/>
      <c r="AP7" s="88"/>
      <c r="AQ7" s="88"/>
      <c r="AR7" s="89"/>
      <c r="AS7" s="87"/>
      <c r="AT7" s="88"/>
      <c r="AU7" s="88"/>
      <c r="AV7" s="88"/>
      <c r="AW7" s="89"/>
      <c r="AX7" s="87"/>
      <c r="AY7" s="88"/>
      <c r="AZ7" s="88"/>
      <c r="BA7" s="88"/>
      <c r="BB7" s="89"/>
      <c r="BC7" s="87"/>
      <c r="BD7" s="88"/>
      <c r="BE7" s="88"/>
      <c r="BF7" s="88"/>
      <c r="BG7" s="89"/>
      <c r="BH7" s="87"/>
      <c r="BI7" s="88"/>
      <c r="BJ7" s="88"/>
      <c r="BK7" s="88"/>
      <c r="BL7" s="89"/>
      <c r="BM7" s="87"/>
      <c r="BN7" s="88"/>
      <c r="BO7" s="88"/>
      <c r="BP7" s="88"/>
      <c r="BQ7" s="89"/>
      <c r="BR7" s="47" t="str">
        <f>IF(SUM(J7:BQ7)&gt;0,SUM(J7:BQ7),"")</f>
        <v/>
      </c>
      <c r="BS7" s="103"/>
      <c r="BT7" s="100"/>
      <c r="BU7" s="2"/>
      <c r="BV7" s="57" t="str">
        <f>IF(ISBLANK(BV5),"",DATEDIF(BV5,$BV$1,"Y")&amp;"年"&amp;DATEDIF(BV5,$BV$1,"YM")&amp;"ヶ月")</f>
        <v>32年0ヶ月</v>
      </c>
      <c r="BW7" t="str">
        <f>IF(BR5="",BR7,BR5+BR7)</f>
        <v/>
      </c>
      <c r="BX7" t="e">
        <f>H5-BW7</f>
        <v>#VALUE!</v>
      </c>
    </row>
    <row r="8" spans="1:78">
      <c r="A8" s="2"/>
      <c r="B8" s="122" t="s">
        <v>25</v>
      </c>
      <c r="C8" s="125" t="s">
        <v>21</v>
      </c>
      <c r="D8" s="44">
        <f>IF(BV8&gt;0,DATEDIF(BV8,$BV$1,"Y"),"")</f>
        <v>35</v>
      </c>
      <c r="E8" s="18" t="s">
        <v>3</v>
      </c>
      <c r="F8" s="110">
        <v>14</v>
      </c>
      <c r="G8" s="110">
        <v>20</v>
      </c>
      <c r="H8" s="113">
        <f>SUM(F8:G10)</f>
        <v>34</v>
      </c>
      <c r="I8" s="19" t="s">
        <v>22</v>
      </c>
      <c r="J8" s="90"/>
      <c r="K8" s="91"/>
      <c r="L8" s="91"/>
      <c r="M8" s="91"/>
      <c r="N8" s="92"/>
      <c r="O8" s="90"/>
      <c r="P8" s="91"/>
      <c r="Q8" s="91"/>
      <c r="R8" s="91"/>
      <c r="S8" s="92"/>
      <c r="T8" s="84"/>
      <c r="U8" s="85"/>
      <c r="V8" s="85"/>
      <c r="W8" s="85"/>
      <c r="X8" s="86"/>
      <c r="Y8" s="84"/>
      <c r="Z8" s="85"/>
      <c r="AA8" s="85"/>
      <c r="AB8" s="85"/>
      <c r="AC8" s="86"/>
      <c r="AD8" s="84"/>
      <c r="AE8" s="85"/>
      <c r="AF8" s="85"/>
      <c r="AG8" s="85"/>
      <c r="AH8" s="86"/>
      <c r="AI8" s="84"/>
      <c r="AJ8" s="85"/>
      <c r="AK8" s="85"/>
      <c r="AL8" s="85"/>
      <c r="AM8" s="86"/>
      <c r="AN8" s="84"/>
      <c r="AO8" s="85"/>
      <c r="AP8" s="85"/>
      <c r="AQ8" s="85"/>
      <c r="AR8" s="86"/>
      <c r="AS8" s="84"/>
      <c r="AT8" s="85"/>
      <c r="AU8" s="85"/>
      <c r="AV8" s="85"/>
      <c r="AW8" s="86"/>
      <c r="AX8" s="84"/>
      <c r="AY8" s="85"/>
      <c r="AZ8" s="85"/>
      <c r="BA8" s="85"/>
      <c r="BB8" s="86"/>
      <c r="BC8" s="84"/>
      <c r="BD8" s="85"/>
      <c r="BE8" s="85"/>
      <c r="BF8" s="85"/>
      <c r="BG8" s="86"/>
      <c r="BH8" s="84"/>
      <c r="BI8" s="85"/>
      <c r="BJ8" s="85"/>
      <c r="BK8" s="85"/>
      <c r="BL8" s="86"/>
      <c r="BM8" s="84"/>
      <c r="BN8" s="85"/>
      <c r="BO8" s="85"/>
      <c r="BP8" s="85"/>
      <c r="BQ8" s="86"/>
      <c r="BR8" s="46" t="str">
        <f>IF(SUM(J8:BQ8)&gt;0,SUM(J8:BQ8),"")</f>
        <v/>
      </c>
      <c r="BS8" s="101">
        <f>H8-SUM(J10:BQ10)</f>
        <v>34</v>
      </c>
      <c r="BT8" s="98"/>
      <c r="BU8" s="2"/>
      <c r="BV8" s="62">
        <v>31503</v>
      </c>
    </row>
    <row r="9" spans="1:78">
      <c r="A9" s="2"/>
      <c r="B9" s="123"/>
      <c r="C9" s="126"/>
      <c r="D9" s="55"/>
      <c r="E9" s="27"/>
      <c r="F9" s="111"/>
      <c r="G9" s="111"/>
      <c r="H9" s="114"/>
      <c r="I9" s="28"/>
      <c r="J9" s="51"/>
      <c r="K9" s="51"/>
      <c r="L9" s="51"/>
      <c r="M9" s="51"/>
      <c r="N9" s="51"/>
      <c r="O9" s="51"/>
      <c r="P9" s="51"/>
      <c r="Q9" s="51"/>
      <c r="R9" s="51"/>
      <c r="S9" s="51"/>
      <c r="T9" s="52"/>
      <c r="U9" s="52"/>
      <c r="V9" s="52"/>
      <c r="W9" s="52"/>
      <c r="X9" s="52"/>
      <c r="Y9" s="52"/>
      <c r="Z9" s="52"/>
      <c r="AA9" s="52"/>
      <c r="AB9" s="52"/>
      <c r="AC9" s="52"/>
      <c r="AD9" s="52"/>
      <c r="AE9" s="52"/>
      <c r="AF9" s="52"/>
      <c r="AG9" s="52"/>
      <c r="AH9" s="52"/>
      <c r="AI9" s="52"/>
      <c r="AJ9" s="52"/>
      <c r="AK9" s="52"/>
      <c r="AL9" s="52"/>
      <c r="AM9" s="52"/>
      <c r="AN9" s="52"/>
      <c r="AO9" s="52"/>
      <c r="AP9" s="52"/>
      <c r="AQ9" s="52"/>
      <c r="AR9" s="52"/>
      <c r="AS9" s="52"/>
      <c r="AT9" s="52"/>
      <c r="AU9" s="52"/>
      <c r="AV9" s="52"/>
      <c r="AW9" s="52"/>
      <c r="AX9" s="52"/>
      <c r="AY9" s="52"/>
      <c r="AZ9" s="52"/>
      <c r="BA9" s="52"/>
      <c r="BB9" s="52"/>
      <c r="BC9" s="52"/>
      <c r="BD9" s="52"/>
      <c r="BE9" s="52"/>
      <c r="BF9" s="52"/>
      <c r="BG9" s="52"/>
      <c r="BH9" s="52"/>
      <c r="BI9" s="52"/>
      <c r="BJ9" s="52"/>
      <c r="BK9" s="52"/>
      <c r="BL9" s="52"/>
      <c r="BM9" s="52"/>
      <c r="BN9" s="52"/>
      <c r="BO9" s="52"/>
      <c r="BP9" s="52"/>
      <c r="BQ9" s="52"/>
      <c r="BR9" s="56"/>
      <c r="BS9" s="102"/>
      <c r="BT9" s="99"/>
      <c r="BU9" s="2"/>
      <c r="BV9" s="21"/>
      <c r="BY9" s="83">
        <v>4</v>
      </c>
      <c r="BZ9" s="10" t="s">
        <v>115</v>
      </c>
    </row>
    <row r="10" spans="1:78">
      <c r="A10" s="2"/>
      <c r="B10" s="124"/>
      <c r="C10" s="127"/>
      <c r="D10" s="45">
        <f>IF(BV8&gt;0,DATEDIF(BV8,$BV$1,"YM"),"")</f>
        <v>0</v>
      </c>
      <c r="E10" s="1" t="s">
        <v>23</v>
      </c>
      <c r="F10" s="112"/>
      <c r="G10" s="112"/>
      <c r="H10" s="115"/>
      <c r="I10" s="20" t="s">
        <v>24</v>
      </c>
      <c r="J10" s="93"/>
      <c r="K10" s="94"/>
      <c r="L10" s="94"/>
      <c r="M10" s="94"/>
      <c r="N10" s="95"/>
      <c r="O10" s="93"/>
      <c r="P10" s="94"/>
      <c r="Q10" s="94"/>
      <c r="R10" s="94"/>
      <c r="S10" s="95"/>
      <c r="T10" s="87"/>
      <c r="U10" s="88"/>
      <c r="V10" s="88"/>
      <c r="W10" s="88"/>
      <c r="X10" s="89"/>
      <c r="Y10" s="87"/>
      <c r="Z10" s="88"/>
      <c r="AA10" s="88"/>
      <c r="AB10" s="88"/>
      <c r="AC10" s="89"/>
      <c r="AD10" s="87"/>
      <c r="AE10" s="88"/>
      <c r="AF10" s="88"/>
      <c r="AG10" s="88"/>
      <c r="AH10" s="89"/>
      <c r="AI10" s="87"/>
      <c r="AJ10" s="88"/>
      <c r="AK10" s="88"/>
      <c r="AL10" s="88"/>
      <c r="AM10" s="89"/>
      <c r="AN10" s="87"/>
      <c r="AO10" s="88"/>
      <c r="AP10" s="88"/>
      <c r="AQ10" s="88"/>
      <c r="AR10" s="89"/>
      <c r="AS10" s="87"/>
      <c r="AT10" s="88"/>
      <c r="AU10" s="88"/>
      <c r="AV10" s="88"/>
      <c r="AW10" s="89"/>
      <c r="AX10" s="87"/>
      <c r="AY10" s="88"/>
      <c r="AZ10" s="88"/>
      <c r="BA10" s="88"/>
      <c r="BB10" s="89"/>
      <c r="BC10" s="87"/>
      <c r="BD10" s="88"/>
      <c r="BE10" s="88"/>
      <c r="BF10" s="88"/>
      <c r="BG10" s="89"/>
      <c r="BH10" s="87"/>
      <c r="BI10" s="88"/>
      <c r="BJ10" s="88"/>
      <c r="BK10" s="88"/>
      <c r="BL10" s="89"/>
      <c r="BM10" s="87"/>
      <c r="BN10" s="88"/>
      <c r="BO10" s="88"/>
      <c r="BP10" s="88"/>
      <c r="BQ10" s="89"/>
      <c r="BR10" s="61" t="str">
        <f>IF(SUM(J10:BQ10)&gt;0,SUM(J10:BQ10),"")</f>
        <v/>
      </c>
      <c r="BS10" s="103"/>
      <c r="BT10" s="100"/>
      <c r="BU10" s="2"/>
      <c r="BV10" s="57" t="str">
        <f>IF(ISBLANK(BV8),"",DATEDIF(BV8,$BV$1,"Y")&amp;"年"&amp;DATEDIF(BV8,$BV$1,"YM")&amp;"ヶ月")</f>
        <v>35年0ヶ月</v>
      </c>
      <c r="BW10" s="30" t="str">
        <f>IF(BR8="",BR10,BR8+BR10)</f>
        <v/>
      </c>
      <c r="BX10" t="e">
        <f>H8-BW10</f>
        <v>#VALUE!</v>
      </c>
    </row>
    <row r="11" spans="1:78">
      <c r="A11" s="2"/>
      <c r="B11" s="122" t="s">
        <v>26</v>
      </c>
      <c r="C11" s="125" t="s">
        <v>27</v>
      </c>
      <c r="D11" s="44">
        <f>IF(BV11&gt;0,DATEDIF(BV11,$BV$1,"Y"),"")</f>
        <v>39</v>
      </c>
      <c r="E11" s="18" t="s">
        <v>3</v>
      </c>
      <c r="F11" s="110">
        <v>20</v>
      </c>
      <c r="G11" s="110">
        <v>20</v>
      </c>
      <c r="H11" s="113">
        <f>SUM(F11:G13)</f>
        <v>40</v>
      </c>
      <c r="I11" s="19" t="s">
        <v>22</v>
      </c>
      <c r="J11" s="96">
        <v>1.5</v>
      </c>
      <c r="K11" s="91"/>
      <c r="L11" s="91"/>
      <c r="M11" s="91"/>
      <c r="N11" s="92"/>
      <c r="O11" s="90">
        <v>2</v>
      </c>
      <c r="P11" s="91"/>
      <c r="Q11" s="91"/>
      <c r="R11" s="91"/>
      <c r="S11" s="92"/>
      <c r="T11" s="84"/>
      <c r="U11" s="85"/>
      <c r="V11" s="85"/>
      <c r="W11" s="85"/>
      <c r="X11" s="86"/>
      <c r="Y11" s="84"/>
      <c r="Z11" s="85"/>
      <c r="AA11" s="85"/>
      <c r="AB11" s="85"/>
      <c r="AC11" s="86"/>
      <c r="AD11" s="84"/>
      <c r="AE11" s="85"/>
      <c r="AF11" s="85"/>
      <c r="AG11" s="85"/>
      <c r="AH11" s="86"/>
      <c r="AI11" s="84">
        <v>3</v>
      </c>
      <c r="AJ11" s="85"/>
      <c r="AK11" s="85"/>
      <c r="AL11" s="85"/>
      <c r="AM11" s="86"/>
      <c r="AN11" s="84"/>
      <c r="AO11" s="85"/>
      <c r="AP11" s="85"/>
      <c r="AQ11" s="85"/>
      <c r="AR11" s="86"/>
      <c r="AS11" s="84">
        <v>1</v>
      </c>
      <c r="AT11" s="85"/>
      <c r="AU11" s="85"/>
      <c r="AV11" s="85"/>
      <c r="AW11" s="86"/>
      <c r="AX11" s="84"/>
      <c r="AY11" s="85"/>
      <c r="AZ11" s="85"/>
      <c r="BA11" s="85"/>
      <c r="BB11" s="86"/>
      <c r="BC11" s="84"/>
      <c r="BD11" s="85"/>
      <c r="BE11" s="85"/>
      <c r="BF11" s="85"/>
      <c r="BG11" s="86"/>
      <c r="BH11" s="84"/>
      <c r="BI11" s="85"/>
      <c r="BJ11" s="85"/>
      <c r="BK11" s="85"/>
      <c r="BL11" s="86"/>
      <c r="BM11" s="84"/>
      <c r="BN11" s="85"/>
      <c r="BO11" s="85"/>
      <c r="BP11" s="85"/>
      <c r="BQ11" s="86"/>
      <c r="BR11" s="46">
        <f>IF(SUM(J11:BQ11)&gt;0,SUM(J11:BQ11),"")</f>
        <v>7.5</v>
      </c>
      <c r="BS11" s="101">
        <f>H11-SUM(J13:BQ13)</f>
        <v>40</v>
      </c>
      <c r="BT11" s="98"/>
      <c r="BU11" s="2"/>
      <c r="BV11" s="62">
        <v>30042</v>
      </c>
    </row>
    <row r="12" spans="1:78">
      <c r="A12" s="2"/>
      <c r="B12" s="123"/>
      <c r="C12" s="126"/>
      <c r="D12" s="55"/>
      <c r="E12" s="27"/>
      <c r="F12" s="111"/>
      <c r="G12" s="111"/>
      <c r="H12" s="114"/>
      <c r="I12" s="28"/>
      <c r="J12" s="53" t="s">
        <v>28</v>
      </c>
      <c r="K12" s="53">
        <v>30</v>
      </c>
      <c r="L12" s="53"/>
      <c r="M12" s="53"/>
      <c r="N12" s="53"/>
      <c r="O12" s="53">
        <v>6</v>
      </c>
      <c r="P12" s="53">
        <v>7</v>
      </c>
      <c r="Q12" s="53"/>
      <c r="R12" s="53"/>
      <c r="S12" s="53"/>
      <c r="T12" s="54"/>
      <c r="U12" s="54"/>
      <c r="V12" s="54"/>
      <c r="W12" s="54"/>
      <c r="X12" s="54"/>
      <c r="Y12" s="54"/>
      <c r="Z12" s="54"/>
      <c r="AA12" s="54"/>
      <c r="AB12" s="54"/>
      <c r="AC12" s="54"/>
      <c r="AD12" s="54"/>
      <c r="AE12" s="54"/>
      <c r="AF12" s="54"/>
      <c r="AG12" s="54"/>
      <c r="AH12" s="54"/>
      <c r="AI12" s="54">
        <v>21</v>
      </c>
      <c r="AJ12" s="54">
        <v>22</v>
      </c>
      <c r="AK12" s="54">
        <v>24</v>
      </c>
      <c r="AL12" s="54"/>
      <c r="AM12" s="54"/>
      <c r="AN12" s="54"/>
      <c r="AO12" s="54"/>
      <c r="AP12" s="54"/>
      <c r="AQ12" s="54"/>
      <c r="AR12" s="54"/>
      <c r="AS12" s="54">
        <v>22</v>
      </c>
      <c r="AT12" s="54"/>
      <c r="AU12" s="54"/>
      <c r="AV12" s="54"/>
      <c r="AW12" s="54"/>
      <c r="AX12" s="54"/>
      <c r="AY12" s="54"/>
      <c r="AZ12" s="54"/>
      <c r="BA12" s="54"/>
      <c r="BB12" s="54"/>
      <c r="BC12" s="54"/>
      <c r="BD12" s="54"/>
      <c r="BE12" s="54"/>
      <c r="BF12" s="54"/>
      <c r="BG12" s="54"/>
      <c r="BH12" s="54"/>
      <c r="BI12" s="54"/>
      <c r="BJ12" s="54"/>
      <c r="BK12" s="54"/>
      <c r="BL12" s="54"/>
      <c r="BM12" s="54"/>
      <c r="BN12" s="54"/>
      <c r="BO12" s="54"/>
      <c r="BP12" s="54"/>
      <c r="BQ12" s="54"/>
      <c r="BR12" s="56"/>
      <c r="BS12" s="102"/>
      <c r="BT12" s="99"/>
      <c r="BU12" s="2"/>
      <c r="BV12" s="21"/>
      <c r="BW12">
        <f>IF(BR11="",IF(BR13="","",BR13+BR11),BR11)</f>
        <v>7.5</v>
      </c>
      <c r="BX12" t="s">
        <v>113</v>
      </c>
    </row>
    <row r="13" spans="1:78">
      <c r="A13" s="2"/>
      <c r="B13" s="124"/>
      <c r="C13" s="127"/>
      <c r="D13" s="45">
        <f>IF(BV11&gt;0,DATEDIF(BV11,$BV$1,"YM"),"")</f>
        <v>0</v>
      </c>
      <c r="E13" s="1" t="s">
        <v>23</v>
      </c>
      <c r="F13" s="112"/>
      <c r="G13" s="112"/>
      <c r="H13" s="115"/>
      <c r="I13" s="20" t="s">
        <v>24</v>
      </c>
      <c r="J13" s="147"/>
      <c r="K13" s="148"/>
      <c r="L13" s="148"/>
      <c r="M13" s="148"/>
      <c r="N13" s="149"/>
      <c r="O13" s="93"/>
      <c r="P13" s="94"/>
      <c r="Q13" s="94"/>
      <c r="R13" s="94"/>
      <c r="S13" s="95"/>
      <c r="T13" s="87"/>
      <c r="U13" s="88"/>
      <c r="V13" s="88"/>
      <c r="W13" s="88"/>
      <c r="X13" s="89"/>
      <c r="Y13" s="87"/>
      <c r="Z13" s="88"/>
      <c r="AA13" s="88"/>
      <c r="AB13" s="88"/>
      <c r="AC13" s="89"/>
      <c r="AD13" s="87"/>
      <c r="AE13" s="88"/>
      <c r="AF13" s="88"/>
      <c r="AG13" s="88"/>
      <c r="AH13" s="89"/>
      <c r="AI13" s="87"/>
      <c r="AJ13" s="88"/>
      <c r="AK13" s="88"/>
      <c r="AL13" s="88"/>
      <c r="AM13" s="89"/>
      <c r="AN13" s="87"/>
      <c r="AO13" s="88"/>
      <c r="AP13" s="88"/>
      <c r="AQ13" s="88"/>
      <c r="AR13" s="89"/>
      <c r="AS13" s="87"/>
      <c r="AT13" s="88"/>
      <c r="AU13" s="88"/>
      <c r="AV13" s="88"/>
      <c r="AW13" s="89"/>
      <c r="AX13" s="87"/>
      <c r="AY13" s="88"/>
      <c r="AZ13" s="88"/>
      <c r="BA13" s="88"/>
      <c r="BB13" s="89"/>
      <c r="BC13" s="87"/>
      <c r="BD13" s="88"/>
      <c r="BE13" s="88"/>
      <c r="BF13" s="88"/>
      <c r="BG13" s="89"/>
      <c r="BH13" s="87"/>
      <c r="BI13" s="88"/>
      <c r="BJ13" s="88"/>
      <c r="BK13" s="88"/>
      <c r="BL13" s="89"/>
      <c r="BM13" s="87"/>
      <c r="BN13" s="88"/>
      <c r="BO13" s="88"/>
      <c r="BP13" s="88"/>
      <c r="BQ13" s="89"/>
      <c r="BR13" s="61" t="str">
        <f>IF(SUM(J13:BQ13)&gt;0,SUM(J13:BQ13),"")</f>
        <v/>
      </c>
      <c r="BS13" s="103"/>
      <c r="BT13" s="100"/>
      <c r="BU13" s="2"/>
      <c r="BV13" s="57" t="str">
        <f>IF(ISBLANK(BV11),"",DATEDIF(BV11,$BV$1,"Y")&amp;"年"&amp;DATEDIF(BV11,$BV$1,"YM")&amp;"ヶ月")</f>
        <v>39年0ヶ月</v>
      </c>
      <c r="BW13" t="e">
        <f>IF(BR11=""&amp;BR13="","",BR11+BR13)</f>
        <v>#VALUE!</v>
      </c>
      <c r="BX13" t="e">
        <f>H11-BW13</f>
        <v>#VALUE!</v>
      </c>
    </row>
    <row r="14" spans="1:78">
      <c r="A14" s="2"/>
      <c r="B14" s="122" t="s">
        <v>29</v>
      </c>
      <c r="C14" s="125" t="s">
        <v>21</v>
      </c>
      <c r="D14" s="44">
        <f>IF(BV14&gt;0,DATEDIF(BV14,$BV$1,"Y"),"")</f>
        <v>1</v>
      </c>
      <c r="E14" s="18" t="s">
        <v>3</v>
      </c>
      <c r="F14" s="128">
        <v>6</v>
      </c>
      <c r="G14" s="110">
        <v>12</v>
      </c>
      <c r="H14" s="113">
        <f>SUM(F14:G16)</f>
        <v>18</v>
      </c>
      <c r="I14" s="19" t="s">
        <v>22</v>
      </c>
      <c r="J14" s="153">
        <v>1</v>
      </c>
      <c r="K14" s="154"/>
      <c r="L14" s="154"/>
      <c r="M14" s="154"/>
      <c r="N14" s="155"/>
      <c r="O14" s="90">
        <v>2</v>
      </c>
      <c r="P14" s="91"/>
      <c r="Q14" s="91"/>
      <c r="R14" s="91"/>
      <c r="S14" s="92"/>
      <c r="T14" s="84"/>
      <c r="U14" s="85"/>
      <c r="V14" s="85"/>
      <c r="W14" s="85"/>
      <c r="X14" s="86"/>
      <c r="Y14" s="84"/>
      <c r="Z14" s="85"/>
      <c r="AA14" s="85"/>
      <c r="AB14" s="85"/>
      <c r="AC14" s="86"/>
      <c r="AD14" s="84"/>
      <c r="AE14" s="85"/>
      <c r="AF14" s="85"/>
      <c r="AG14" s="85"/>
      <c r="AH14" s="86"/>
      <c r="AI14" s="84"/>
      <c r="AJ14" s="85"/>
      <c r="AK14" s="85"/>
      <c r="AL14" s="85"/>
      <c r="AM14" s="86"/>
      <c r="AN14" s="84"/>
      <c r="AO14" s="85"/>
      <c r="AP14" s="85"/>
      <c r="AQ14" s="85"/>
      <c r="AR14" s="86"/>
      <c r="AS14" s="84"/>
      <c r="AT14" s="85"/>
      <c r="AU14" s="85"/>
      <c r="AV14" s="85"/>
      <c r="AW14" s="86"/>
      <c r="AX14" s="84"/>
      <c r="AY14" s="85"/>
      <c r="AZ14" s="85"/>
      <c r="BA14" s="85"/>
      <c r="BB14" s="86"/>
      <c r="BC14" s="84"/>
      <c r="BD14" s="85"/>
      <c r="BE14" s="85"/>
      <c r="BF14" s="85"/>
      <c r="BG14" s="86"/>
      <c r="BH14" s="84"/>
      <c r="BI14" s="85"/>
      <c r="BJ14" s="85"/>
      <c r="BK14" s="85"/>
      <c r="BL14" s="86"/>
      <c r="BM14" s="84"/>
      <c r="BN14" s="85"/>
      <c r="BO14" s="85"/>
      <c r="BP14" s="85"/>
      <c r="BQ14" s="86"/>
      <c r="BR14" s="66">
        <f>IF(SUM(J14:BQ14)&gt;0,SUM(J14:BQ14),"")</f>
        <v>3</v>
      </c>
      <c r="BS14" s="101">
        <f>H14-SUM(J16:BQ16)</f>
        <v>18</v>
      </c>
      <c r="BT14" s="98"/>
      <c r="BU14" s="2"/>
      <c r="BV14" s="62">
        <v>43617</v>
      </c>
    </row>
    <row r="15" spans="1:78">
      <c r="A15" s="2"/>
      <c r="B15" s="123"/>
      <c r="C15" s="126"/>
      <c r="D15" s="55"/>
      <c r="E15" s="27"/>
      <c r="F15" s="129"/>
      <c r="G15" s="111"/>
      <c r="H15" s="114"/>
      <c r="I15" s="28"/>
      <c r="J15" s="51">
        <v>30</v>
      </c>
      <c r="K15" s="51"/>
      <c r="L15" s="51"/>
      <c r="M15" s="51"/>
      <c r="N15" s="51"/>
      <c r="O15" s="51">
        <v>6</v>
      </c>
      <c r="P15" s="51">
        <v>7</v>
      </c>
      <c r="Q15" s="51"/>
      <c r="R15" s="51"/>
      <c r="S15" s="51"/>
      <c r="T15" s="52"/>
      <c r="U15" s="52"/>
      <c r="V15" s="52"/>
      <c r="W15" s="52"/>
      <c r="X15" s="52"/>
      <c r="Y15" s="52"/>
      <c r="Z15" s="52"/>
      <c r="AA15" s="52"/>
      <c r="AB15" s="52"/>
      <c r="AC15" s="52"/>
      <c r="AD15" s="52"/>
      <c r="AE15" s="52"/>
      <c r="AF15" s="52"/>
      <c r="AG15" s="52"/>
      <c r="AH15" s="52"/>
      <c r="AI15" s="52"/>
      <c r="AJ15" s="52"/>
      <c r="AK15" s="52"/>
      <c r="AL15" s="52"/>
      <c r="AM15" s="52"/>
      <c r="AN15" s="52"/>
      <c r="AO15" s="52"/>
      <c r="AP15" s="52"/>
      <c r="AQ15" s="52"/>
      <c r="AR15" s="52"/>
      <c r="AS15" s="52"/>
      <c r="AT15" s="52"/>
      <c r="AU15" s="52"/>
      <c r="AV15" s="52"/>
      <c r="AW15" s="52"/>
      <c r="AX15" s="52"/>
      <c r="AY15" s="52"/>
      <c r="AZ15" s="52"/>
      <c r="BA15" s="52"/>
      <c r="BB15" s="52"/>
      <c r="BC15" s="52"/>
      <c r="BD15" s="52"/>
      <c r="BE15" s="52"/>
      <c r="BF15" s="52"/>
      <c r="BG15" s="52"/>
      <c r="BH15" s="52"/>
      <c r="BI15" s="52"/>
      <c r="BJ15" s="52"/>
      <c r="BK15" s="52"/>
      <c r="BL15" s="52"/>
      <c r="BM15" s="52"/>
      <c r="BN15" s="52"/>
      <c r="BO15" s="52"/>
      <c r="BP15" s="52"/>
      <c r="BQ15" s="52"/>
      <c r="BR15" s="56"/>
      <c r="BS15" s="102"/>
      <c r="BT15" s="99"/>
      <c r="BU15" s="2"/>
      <c r="BV15" s="21"/>
    </row>
    <row r="16" spans="1:78">
      <c r="A16" s="2"/>
      <c r="B16" s="124"/>
      <c r="C16" s="127"/>
      <c r="D16" s="45">
        <f>IF(BV14&gt;0,DATEDIF(BV14,$BV$1,"YM"),"")</f>
        <v>10</v>
      </c>
      <c r="E16" s="1" t="s">
        <v>23</v>
      </c>
      <c r="F16" s="130"/>
      <c r="G16" s="112"/>
      <c r="H16" s="115"/>
      <c r="I16" s="20" t="s">
        <v>24</v>
      </c>
      <c r="J16" s="150"/>
      <c r="K16" s="151"/>
      <c r="L16" s="151"/>
      <c r="M16" s="151"/>
      <c r="N16" s="152"/>
      <c r="O16" s="93"/>
      <c r="P16" s="94"/>
      <c r="Q16" s="94"/>
      <c r="R16" s="94"/>
      <c r="S16" s="95"/>
      <c r="T16" s="87"/>
      <c r="U16" s="88"/>
      <c r="V16" s="88"/>
      <c r="W16" s="88"/>
      <c r="X16" s="89"/>
      <c r="Y16" s="87"/>
      <c r="Z16" s="88"/>
      <c r="AA16" s="88"/>
      <c r="AB16" s="88"/>
      <c r="AC16" s="89"/>
      <c r="AD16" s="87"/>
      <c r="AE16" s="88"/>
      <c r="AF16" s="88"/>
      <c r="AG16" s="88"/>
      <c r="AH16" s="89"/>
      <c r="AI16" s="87"/>
      <c r="AJ16" s="88"/>
      <c r="AK16" s="88"/>
      <c r="AL16" s="88"/>
      <c r="AM16" s="89"/>
      <c r="AN16" s="87"/>
      <c r="AO16" s="88"/>
      <c r="AP16" s="88"/>
      <c r="AQ16" s="88"/>
      <c r="AR16" s="89"/>
      <c r="AS16" s="87"/>
      <c r="AT16" s="88"/>
      <c r="AU16" s="88"/>
      <c r="AV16" s="88"/>
      <c r="AW16" s="89"/>
      <c r="AX16" s="87"/>
      <c r="AY16" s="88"/>
      <c r="AZ16" s="88"/>
      <c r="BA16" s="88"/>
      <c r="BB16" s="89"/>
      <c r="BC16" s="87"/>
      <c r="BD16" s="88"/>
      <c r="BE16" s="88"/>
      <c r="BF16" s="88"/>
      <c r="BG16" s="89"/>
      <c r="BH16" s="87"/>
      <c r="BI16" s="88"/>
      <c r="BJ16" s="88"/>
      <c r="BK16" s="88"/>
      <c r="BL16" s="89"/>
      <c r="BM16" s="87"/>
      <c r="BN16" s="88"/>
      <c r="BO16" s="88"/>
      <c r="BP16" s="88"/>
      <c r="BQ16" s="89"/>
      <c r="BR16" s="61" t="str">
        <f>IF(SUM(J16:BQ16)&gt;0,SUM(J16:BQ16),"")</f>
        <v/>
      </c>
      <c r="BS16" s="103"/>
      <c r="BT16" s="100"/>
      <c r="BU16" s="2"/>
      <c r="BV16" s="57" t="str">
        <f>IF(ISBLANK(BV14),"",DATEDIF(BV14,$BV$1,"Y")&amp;"年"&amp;DATEDIF(BV14,$BV$1,"YM")&amp;"ヶ月")</f>
        <v>1年10ヶ月</v>
      </c>
      <c r="BW16" s="30" t="e">
        <f>IF(BR14="",BR16,BR14+BR16)</f>
        <v>#VALUE!</v>
      </c>
      <c r="BX16" t="e">
        <f>H14-BW16</f>
        <v>#VALUE!</v>
      </c>
    </row>
    <row r="17" spans="1:76">
      <c r="A17" s="2"/>
      <c r="B17" s="122" t="s">
        <v>30</v>
      </c>
      <c r="C17" s="125" t="s">
        <v>27</v>
      </c>
      <c r="D17" s="44">
        <f>IF(BV17&gt;0,DATEDIF(BV17,$BV$1,"Y"),"")</f>
        <v>10</v>
      </c>
      <c r="E17" s="18" t="s">
        <v>3</v>
      </c>
      <c r="F17" s="110">
        <v>20</v>
      </c>
      <c r="G17" s="110">
        <v>20</v>
      </c>
      <c r="H17" s="113">
        <f>SUM(F17:G19)</f>
        <v>40</v>
      </c>
      <c r="I17" s="19" t="s">
        <v>22</v>
      </c>
      <c r="J17" s="90"/>
      <c r="K17" s="91"/>
      <c r="L17" s="91"/>
      <c r="M17" s="91"/>
      <c r="N17" s="92"/>
      <c r="O17" s="90"/>
      <c r="P17" s="91"/>
      <c r="Q17" s="91"/>
      <c r="R17" s="91"/>
      <c r="S17" s="92"/>
      <c r="T17" s="84"/>
      <c r="U17" s="85"/>
      <c r="V17" s="85"/>
      <c r="W17" s="85"/>
      <c r="X17" s="86"/>
      <c r="Y17" s="84"/>
      <c r="Z17" s="85"/>
      <c r="AA17" s="85"/>
      <c r="AB17" s="85"/>
      <c r="AC17" s="86"/>
      <c r="AD17" s="84"/>
      <c r="AE17" s="85"/>
      <c r="AF17" s="85"/>
      <c r="AG17" s="85"/>
      <c r="AH17" s="86"/>
      <c r="AI17" s="84"/>
      <c r="AJ17" s="85"/>
      <c r="AK17" s="85"/>
      <c r="AL17" s="85"/>
      <c r="AM17" s="86"/>
      <c r="AN17" s="84"/>
      <c r="AO17" s="85"/>
      <c r="AP17" s="85"/>
      <c r="AQ17" s="85"/>
      <c r="AR17" s="86"/>
      <c r="AS17" s="84"/>
      <c r="AT17" s="85"/>
      <c r="AU17" s="85"/>
      <c r="AV17" s="85"/>
      <c r="AW17" s="86"/>
      <c r="AX17" s="84"/>
      <c r="AY17" s="85"/>
      <c r="AZ17" s="85"/>
      <c r="BA17" s="85"/>
      <c r="BB17" s="86"/>
      <c r="BC17" s="84"/>
      <c r="BD17" s="85"/>
      <c r="BE17" s="85"/>
      <c r="BF17" s="85"/>
      <c r="BG17" s="86"/>
      <c r="BH17" s="84"/>
      <c r="BI17" s="85"/>
      <c r="BJ17" s="85"/>
      <c r="BK17" s="85"/>
      <c r="BL17" s="86"/>
      <c r="BM17" s="84"/>
      <c r="BN17" s="85"/>
      <c r="BO17" s="85"/>
      <c r="BP17" s="85"/>
      <c r="BQ17" s="86"/>
      <c r="BR17" s="46" t="str">
        <f>IF(SUM(J17:BQ17)&gt;0,SUM(J17:BQ17),"")</f>
        <v/>
      </c>
      <c r="BS17" s="101">
        <f>H17-SUM(J19:BQ19)</f>
        <v>40</v>
      </c>
      <c r="BT17" s="98"/>
      <c r="BU17" s="2"/>
      <c r="BV17" s="62">
        <v>40360</v>
      </c>
    </row>
    <row r="18" spans="1:76">
      <c r="A18" s="2"/>
      <c r="B18" s="123"/>
      <c r="C18" s="126"/>
      <c r="D18" s="55"/>
      <c r="E18" s="27"/>
      <c r="F18" s="111"/>
      <c r="G18" s="111"/>
      <c r="H18" s="114"/>
      <c r="I18" s="28"/>
      <c r="J18" s="53"/>
      <c r="K18" s="53"/>
      <c r="L18" s="53"/>
      <c r="M18" s="53"/>
      <c r="N18" s="53"/>
      <c r="O18" s="53"/>
      <c r="P18" s="53"/>
      <c r="Q18" s="53"/>
      <c r="R18" s="53"/>
      <c r="S18" s="53"/>
      <c r="T18" s="54"/>
      <c r="U18" s="54"/>
      <c r="V18" s="54"/>
      <c r="W18" s="54"/>
      <c r="X18" s="54"/>
      <c r="Y18" s="54"/>
      <c r="Z18" s="54"/>
      <c r="AA18" s="54"/>
      <c r="AB18" s="54"/>
      <c r="AC18" s="54"/>
      <c r="AD18" s="54"/>
      <c r="AE18" s="54"/>
      <c r="AF18" s="54"/>
      <c r="AG18" s="54"/>
      <c r="AH18" s="54"/>
      <c r="AI18" s="54"/>
      <c r="AJ18" s="54"/>
      <c r="AK18" s="54"/>
      <c r="AL18" s="54"/>
      <c r="AM18" s="54"/>
      <c r="AN18" s="54"/>
      <c r="AO18" s="54"/>
      <c r="AP18" s="54"/>
      <c r="AQ18" s="54"/>
      <c r="AR18" s="54"/>
      <c r="AS18" s="54"/>
      <c r="AT18" s="54"/>
      <c r="AU18" s="54"/>
      <c r="AV18" s="54"/>
      <c r="AW18" s="54"/>
      <c r="AX18" s="54"/>
      <c r="AY18" s="54"/>
      <c r="AZ18" s="54"/>
      <c r="BA18" s="54"/>
      <c r="BB18" s="54"/>
      <c r="BC18" s="54"/>
      <c r="BD18" s="54"/>
      <c r="BE18" s="54"/>
      <c r="BF18" s="54"/>
      <c r="BG18" s="54"/>
      <c r="BH18" s="54"/>
      <c r="BI18" s="54"/>
      <c r="BJ18" s="54"/>
      <c r="BK18" s="54"/>
      <c r="BL18" s="54"/>
      <c r="BM18" s="54"/>
      <c r="BN18" s="54"/>
      <c r="BO18" s="54"/>
      <c r="BP18" s="54"/>
      <c r="BQ18" s="54"/>
      <c r="BR18" s="56"/>
      <c r="BS18" s="102"/>
      <c r="BT18" s="99"/>
      <c r="BU18" s="2"/>
      <c r="BV18" s="21"/>
    </row>
    <row r="19" spans="1:76">
      <c r="A19" s="2"/>
      <c r="B19" s="124"/>
      <c r="C19" s="127"/>
      <c r="D19" s="45">
        <f>IF(BV17&gt;0,DATEDIF(BV17,$BV$1,"YM"),"")</f>
        <v>9</v>
      </c>
      <c r="E19" s="1" t="s">
        <v>23</v>
      </c>
      <c r="F19" s="112"/>
      <c r="G19" s="112"/>
      <c r="H19" s="115"/>
      <c r="I19" s="20" t="s">
        <v>24</v>
      </c>
      <c r="J19" s="93"/>
      <c r="K19" s="94"/>
      <c r="L19" s="94"/>
      <c r="M19" s="94"/>
      <c r="N19" s="95"/>
      <c r="O19" s="93"/>
      <c r="P19" s="94"/>
      <c r="Q19" s="94"/>
      <c r="R19" s="94"/>
      <c r="S19" s="95"/>
      <c r="T19" s="87"/>
      <c r="U19" s="88"/>
      <c r="V19" s="88"/>
      <c r="W19" s="88"/>
      <c r="X19" s="89"/>
      <c r="Y19" s="87"/>
      <c r="Z19" s="88"/>
      <c r="AA19" s="88"/>
      <c r="AB19" s="88"/>
      <c r="AC19" s="89"/>
      <c r="AD19" s="87"/>
      <c r="AE19" s="88"/>
      <c r="AF19" s="88"/>
      <c r="AG19" s="88"/>
      <c r="AH19" s="89"/>
      <c r="AI19" s="87"/>
      <c r="AJ19" s="88"/>
      <c r="AK19" s="88"/>
      <c r="AL19" s="88"/>
      <c r="AM19" s="89"/>
      <c r="AN19" s="87"/>
      <c r="AO19" s="88"/>
      <c r="AP19" s="88"/>
      <c r="AQ19" s="88"/>
      <c r="AR19" s="89"/>
      <c r="AS19" s="87"/>
      <c r="AT19" s="88"/>
      <c r="AU19" s="88"/>
      <c r="AV19" s="88"/>
      <c r="AW19" s="89"/>
      <c r="AX19" s="87"/>
      <c r="AY19" s="88"/>
      <c r="AZ19" s="88"/>
      <c r="BA19" s="88"/>
      <c r="BB19" s="89"/>
      <c r="BC19" s="87"/>
      <c r="BD19" s="88"/>
      <c r="BE19" s="88"/>
      <c r="BF19" s="88"/>
      <c r="BG19" s="89"/>
      <c r="BH19" s="87"/>
      <c r="BI19" s="88"/>
      <c r="BJ19" s="88"/>
      <c r="BK19" s="88"/>
      <c r="BL19" s="89"/>
      <c r="BM19" s="87"/>
      <c r="BN19" s="88"/>
      <c r="BO19" s="88"/>
      <c r="BP19" s="88"/>
      <c r="BQ19" s="89"/>
      <c r="BR19" s="61" t="str">
        <f>IF(SUM(J19:BQ19)&gt;0,SUM(J19:BQ19),"")</f>
        <v/>
      </c>
      <c r="BS19" s="103"/>
      <c r="BT19" s="100"/>
      <c r="BU19" s="2"/>
      <c r="BV19" s="57" t="str">
        <f>IF(ISBLANK(BV17),"",DATEDIF(BV17,$BV$1,"Y")&amp;"年"&amp;DATEDIF(BV17,$BV$1,"YM")&amp;"ヶ月")</f>
        <v>10年9ヶ月</v>
      </c>
      <c r="BW19" t="str">
        <f>IF(BR17="",BR19,BR17+BR19)</f>
        <v/>
      </c>
      <c r="BX19" t="e">
        <f>H17-BW19</f>
        <v>#VALUE!</v>
      </c>
    </row>
    <row r="20" spans="1:76">
      <c r="A20" s="2"/>
      <c r="B20" s="104" t="s">
        <v>31</v>
      </c>
      <c r="C20" s="107" t="s">
        <v>32</v>
      </c>
      <c r="D20" s="44">
        <f>IF(BV20&gt;0,DATEDIF(BV20,$BV$1,"Y"),"")</f>
        <v>23</v>
      </c>
      <c r="E20" s="18" t="s">
        <v>3</v>
      </c>
      <c r="F20" s="110">
        <v>20</v>
      </c>
      <c r="G20" s="110">
        <v>20</v>
      </c>
      <c r="H20" s="113">
        <f>SUM(F20:G22)</f>
        <v>40</v>
      </c>
      <c r="I20" s="19" t="s">
        <v>22</v>
      </c>
      <c r="J20" s="96">
        <v>1</v>
      </c>
      <c r="K20" s="91"/>
      <c r="L20" s="91"/>
      <c r="M20" s="91"/>
      <c r="N20" s="92"/>
      <c r="O20" s="90">
        <v>1.5</v>
      </c>
      <c r="P20" s="91"/>
      <c r="Q20" s="91"/>
      <c r="R20" s="91"/>
      <c r="S20" s="92"/>
      <c r="T20" s="84"/>
      <c r="U20" s="85"/>
      <c r="V20" s="85"/>
      <c r="W20" s="85"/>
      <c r="X20" s="86"/>
      <c r="Y20" s="84"/>
      <c r="Z20" s="85"/>
      <c r="AA20" s="85"/>
      <c r="AB20" s="85"/>
      <c r="AC20" s="86"/>
      <c r="AD20" s="84"/>
      <c r="AE20" s="85"/>
      <c r="AF20" s="85"/>
      <c r="AG20" s="85"/>
      <c r="AH20" s="86"/>
      <c r="AI20" s="84">
        <v>1</v>
      </c>
      <c r="AJ20" s="85"/>
      <c r="AK20" s="85"/>
      <c r="AL20" s="85"/>
      <c r="AM20" s="86"/>
      <c r="AN20" s="84"/>
      <c r="AO20" s="85"/>
      <c r="AP20" s="85"/>
      <c r="AQ20" s="85"/>
      <c r="AR20" s="86"/>
      <c r="AS20" s="84">
        <v>1</v>
      </c>
      <c r="AT20" s="85"/>
      <c r="AU20" s="85"/>
      <c r="AV20" s="85"/>
      <c r="AW20" s="86"/>
      <c r="AX20" s="84">
        <v>1</v>
      </c>
      <c r="AY20" s="85"/>
      <c r="AZ20" s="85"/>
      <c r="BA20" s="85"/>
      <c r="BB20" s="86"/>
      <c r="BC20" s="84"/>
      <c r="BD20" s="85"/>
      <c r="BE20" s="85"/>
      <c r="BF20" s="85"/>
      <c r="BG20" s="86"/>
      <c r="BH20" s="84"/>
      <c r="BI20" s="85"/>
      <c r="BJ20" s="85"/>
      <c r="BK20" s="85"/>
      <c r="BL20" s="86"/>
      <c r="BM20" s="84"/>
      <c r="BN20" s="85"/>
      <c r="BO20" s="85"/>
      <c r="BP20" s="85"/>
      <c r="BQ20" s="86"/>
      <c r="BR20" s="66">
        <f>IF(SUM(J20:BQ20)&gt;0,SUM(J20:BQ20),"")</f>
        <v>5.5</v>
      </c>
      <c r="BS20" s="101">
        <f>H20-SUM(J22:BQ22)</f>
        <v>40</v>
      </c>
      <c r="BT20" s="98"/>
      <c r="BU20" s="2"/>
      <c r="BV20" s="62">
        <v>35886</v>
      </c>
    </row>
    <row r="21" spans="1:76">
      <c r="A21" s="2"/>
      <c r="B21" s="105"/>
      <c r="C21" s="108"/>
      <c r="D21" s="55"/>
      <c r="E21" s="27"/>
      <c r="F21" s="111"/>
      <c r="G21" s="111"/>
      <c r="H21" s="114"/>
      <c r="I21" s="28"/>
      <c r="J21" s="53">
        <v>30</v>
      </c>
      <c r="K21" s="53"/>
      <c r="L21" s="53"/>
      <c r="M21" s="53"/>
      <c r="N21" s="53"/>
      <c r="O21" s="53" t="s">
        <v>33</v>
      </c>
      <c r="P21" s="53" t="s">
        <v>34</v>
      </c>
      <c r="Q21" s="53" t="s">
        <v>35</v>
      </c>
      <c r="R21" s="53"/>
      <c r="S21" s="53"/>
      <c r="T21" s="54"/>
      <c r="U21" s="54"/>
      <c r="V21" s="54"/>
      <c r="W21" s="54"/>
      <c r="X21" s="54"/>
      <c r="Y21" s="54"/>
      <c r="Z21" s="54"/>
      <c r="AA21" s="54"/>
      <c r="AB21" s="54"/>
      <c r="AC21" s="54"/>
      <c r="AD21" s="54"/>
      <c r="AE21" s="54"/>
      <c r="AF21" s="54"/>
      <c r="AG21" s="54"/>
      <c r="AH21" s="54"/>
      <c r="AI21" s="54">
        <v>24</v>
      </c>
      <c r="AJ21" s="54"/>
      <c r="AK21" s="54"/>
      <c r="AL21" s="54"/>
      <c r="AM21" s="54"/>
      <c r="AN21" s="54"/>
      <c r="AO21" s="54"/>
      <c r="AP21" s="54"/>
      <c r="AQ21" s="54"/>
      <c r="AR21" s="54"/>
      <c r="AS21" s="54">
        <v>22</v>
      </c>
      <c r="AT21" s="54"/>
      <c r="AU21" s="54"/>
      <c r="AV21" s="54"/>
      <c r="AW21" s="54"/>
      <c r="AX21" s="54">
        <v>28</v>
      </c>
      <c r="AY21" s="54"/>
      <c r="AZ21" s="54"/>
      <c r="BA21" s="54"/>
      <c r="BB21" s="54"/>
      <c r="BC21" s="54"/>
      <c r="BD21" s="54"/>
      <c r="BE21" s="54"/>
      <c r="BF21" s="54"/>
      <c r="BG21" s="54"/>
      <c r="BH21" s="54"/>
      <c r="BI21" s="54"/>
      <c r="BJ21" s="54"/>
      <c r="BK21" s="54"/>
      <c r="BL21" s="54"/>
      <c r="BM21" s="54"/>
      <c r="BN21" s="54"/>
      <c r="BO21" s="54"/>
      <c r="BP21" s="54"/>
      <c r="BQ21" s="54"/>
      <c r="BR21" s="56"/>
      <c r="BS21" s="102"/>
      <c r="BT21" s="99"/>
      <c r="BU21" s="2"/>
      <c r="BV21" s="21"/>
    </row>
    <row r="22" spans="1:76">
      <c r="A22" s="2"/>
      <c r="B22" s="106"/>
      <c r="C22" s="109"/>
      <c r="D22" s="45">
        <f>IF(BV20&gt;0,DATEDIF(BV20,$BV$1,"YM"),"")</f>
        <v>0</v>
      </c>
      <c r="E22" s="1" t="s">
        <v>23</v>
      </c>
      <c r="F22" s="112"/>
      <c r="G22" s="112"/>
      <c r="H22" s="115"/>
      <c r="I22" s="20" t="s">
        <v>24</v>
      </c>
      <c r="O22" s="93"/>
      <c r="P22" s="94"/>
      <c r="Q22" s="94"/>
      <c r="R22" s="94"/>
      <c r="S22" s="95"/>
      <c r="T22" s="87"/>
      <c r="U22" s="88"/>
      <c r="V22" s="88"/>
      <c r="W22" s="88"/>
      <c r="X22" s="89"/>
      <c r="Y22" s="87"/>
      <c r="Z22" s="88"/>
      <c r="AA22" s="88"/>
      <c r="AB22" s="88"/>
      <c r="AC22" s="89"/>
      <c r="AD22" s="87"/>
      <c r="AE22" s="88"/>
      <c r="AF22" s="88"/>
      <c r="AG22" s="88"/>
      <c r="AH22" s="89"/>
      <c r="AI22" s="87"/>
      <c r="AJ22" s="88"/>
      <c r="AK22" s="88"/>
      <c r="AL22" s="88"/>
      <c r="AM22" s="89"/>
      <c r="AN22" s="87"/>
      <c r="AO22" s="88"/>
      <c r="AP22" s="88"/>
      <c r="AQ22" s="88"/>
      <c r="AR22" s="89"/>
      <c r="AS22" s="87"/>
      <c r="AT22" s="88"/>
      <c r="AU22" s="88"/>
      <c r="AV22" s="88"/>
      <c r="AW22" s="89"/>
      <c r="AX22" s="87"/>
      <c r="AY22" s="88"/>
      <c r="AZ22" s="88"/>
      <c r="BA22" s="88"/>
      <c r="BB22" s="89"/>
      <c r="BC22" s="87"/>
      <c r="BD22" s="88"/>
      <c r="BE22" s="88"/>
      <c r="BF22" s="88"/>
      <c r="BG22" s="89"/>
      <c r="BH22" s="87"/>
      <c r="BI22" s="88"/>
      <c r="BJ22" s="88"/>
      <c r="BK22" s="88"/>
      <c r="BL22" s="89"/>
      <c r="BM22" s="87"/>
      <c r="BN22" s="88"/>
      <c r="BO22" s="88"/>
      <c r="BP22" s="88"/>
      <c r="BQ22" s="89"/>
      <c r="BR22" s="61" t="str">
        <f>IF(SUM(J22:BQ22)&gt;0,SUM(J22:BQ22),"")</f>
        <v/>
      </c>
      <c r="BS22" s="103"/>
      <c r="BT22" s="100"/>
      <c r="BU22" s="2"/>
      <c r="BV22" s="57" t="str">
        <f>IF(ISBLANK(BV20),"",DATEDIF(BV20,$BV$1,"Y")&amp;"年"&amp;DATEDIF(BV20,$BV$1,"YM")&amp;"ヶ月")</f>
        <v>23年0ヶ月</v>
      </c>
      <c r="BW22" t="e">
        <f>IF(BR20="",BR22,BR20+BR22)</f>
        <v>#VALUE!</v>
      </c>
      <c r="BX22" t="e">
        <f>H20-BW22</f>
        <v>#VALUE!</v>
      </c>
    </row>
    <row r="23" spans="1:76">
      <c r="A23" s="2"/>
      <c r="B23" s="104" t="s">
        <v>36</v>
      </c>
      <c r="C23" s="107" t="s">
        <v>37</v>
      </c>
      <c r="D23" s="44">
        <f>IF(BV23&gt;0,DATEDIF(BV23,$BV$1,"Y"),"")</f>
        <v>3</v>
      </c>
      <c r="E23" s="18" t="s">
        <v>3</v>
      </c>
      <c r="F23" s="128">
        <v>9.5</v>
      </c>
      <c r="G23" s="128">
        <v>16</v>
      </c>
      <c r="H23" s="113">
        <f>SUM(F23:G25)</f>
        <v>25.5</v>
      </c>
      <c r="I23" s="19" t="s">
        <v>22</v>
      </c>
      <c r="J23" s="96">
        <v>1</v>
      </c>
      <c r="K23" s="91"/>
      <c r="L23" s="91"/>
      <c r="M23" s="91"/>
      <c r="N23" s="92"/>
      <c r="O23" s="90">
        <v>1</v>
      </c>
      <c r="P23" s="91"/>
      <c r="Q23" s="91"/>
      <c r="R23" s="91"/>
      <c r="S23" s="92"/>
      <c r="T23" s="84"/>
      <c r="U23" s="85"/>
      <c r="V23" s="85"/>
      <c r="W23" s="85"/>
      <c r="X23" s="86"/>
      <c r="Y23" s="84"/>
      <c r="Z23" s="85"/>
      <c r="AA23" s="85"/>
      <c r="AB23" s="85"/>
      <c r="AC23" s="86"/>
      <c r="AD23" s="84"/>
      <c r="AE23" s="85"/>
      <c r="AF23" s="85"/>
      <c r="AG23" s="85"/>
      <c r="AH23" s="86"/>
      <c r="AI23" s="84">
        <v>1</v>
      </c>
      <c r="AJ23" s="85"/>
      <c r="AK23" s="85"/>
      <c r="AL23" s="85"/>
      <c r="AM23" s="86"/>
      <c r="AN23" s="84"/>
      <c r="AO23" s="85"/>
      <c r="AP23" s="85"/>
      <c r="AQ23" s="85"/>
      <c r="AR23" s="86"/>
      <c r="AS23" s="84">
        <v>1</v>
      </c>
      <c r="AT23" s="85"/>
      <c r="AU23" s="85"/>
      <c r="AV23" s="85"/>
      <c r="AW23" s="86"/>
      <c r="AX23" s="84">
        <v>2</v>
      </c>
      <c r="AY23" s="85"/>
      <c r="AZ23" s="85"/>
      <c r="BA23" s="85"/>
      <c r="BB23" s="86"/>
      <c r="BC23" s="84">
        <v>1</v>
      </c>
      <c r="BD23" s="85"/>
      <c r="BE23" s="85"/>
      <c r="BF23" s="85"/>
      <c r="BG23" s="86"/>
      <c r="BH23" s="84"/>
      <c r="BI23" s="85"/>
      <c r="BJ23" s="85"/>
      <c r="BK23" s="85"/>
      <c r="BL23" s="86"/>
      <c r="BM23" s="84"/>
      <c r="BN23" s="85"/>
      <c r="BO23" s="85"/>
      <c r="BP23" s="85"/>
      <c r="BQ23" s="86"/>
      <c r="BR23" s="46">
        <f>IF(SUM(J23:BQ23)&gt;0,SUM(J23:BQ23),"")</f>
        <v>7</v>
      </c>
      <c r="BS23" s="101">
        <f>H23-SUM(J25:BQ25)</f>
        <v>25.5</v>
      </c>
      <c r="BT23" s="98"/>
      <c r="BU23" s="2"/>
      <c r="BV23" s="62">
        <v>42917</v>
      </c>
    </row>
    <row r="24" spans="1:76">
      <c r="A24" s="2"/>
      <c r="B24" s="105"/>
      <c r="C24" s="108"/>
      <c r="D24" s="55"/>
      <c r="E24" s="27"/>
      <c r="F24" s="129"/>
      <c r="G24" s="129"/>
      <c r="H24" s="114"/>
      <c r="I24" s="28"/>
      <c r="J24" s="51">
        <v>2</v>
      </c>
      <c r="K24" s="51"/>
      <c r="L24" s="51"/>
      <c r="M24" s="51"/>
      <c r="N24" s="51"/>
      <c r="O24" s="51">
        <v>7</v>
      </c>
      <c r="P24" s="51"/>
      <c r="Q24" s="51"/>
      <c r="R24" s="51"/>
      <c r="S24" s="51"/>
      <c r="T24" s="52"/>
      <c r="U24" s="52"/>
      <c r="V24" s="52"/>
      <c r="W24" s="52"/>
      <c r="X24" s="52"/>
      <c r="Y24" s="52"/>
      <c r="Z24" s="52"/>
      <c r="AA24" s="52"/>
      <c r="AB24" s="52"/>
      <c r="AC24" s="52"/>
      <c r="AD24" s="52"/>
      <c r="AE24" s="52"/>
      <c r="AF24" s="52"/>
      <c r="AG24" s="52"/>
      <c r="AH24" s="52"/>
      <c r="AI24" s="52">
        <v>24</v>
      </c>
      <c r="AJ24" s="52"/>
      <c r="AK24" s="52"/>
      <c r="AL24" s="52"/>
      <c r="AM24" s="52"/>
      <c r="AN24" s="52"/>
      <c r="AO24" s="52"/>
      <c r="AP24" s="52"/>
      <c r="AQ24" s="52"/>
      <c r="AR24" s="52"/>
      <c r="AS24" s="52">
        <v>22</v>
      </c>
      <c r="AT24" s="52"/>
      <c r="AU24" s="52"/>
      <c r="AV24" s="52"/>
      <c r="AW24" s="52"/>
      <c r="AX24" s="52">
        <v>27</v>
      </c>
      <c r="AY24" s="52">
        <v>28</v>
      </c>
      <c r="AZ24" s="52"/>
      <c r="BA24" s="52"/>
      <c r="BB24" s="52"/>
      <c r="BC24" s="52">
        <v>5</v>
      </c>
      <c r="BD24" s="52"/>
      <c r="BE24" s="52"/>
      <c r="BF24" s="52"/>
      <c r="BG24" s="52"/>
      <c r="BH24" s="52"/>
      <c r="BI24" s="52"/>
      <c r="BJ24" s="52"/>
      <c r="BK24" s="52"/>
      <c r="BL24" s="52"/>
      <c r="BM24" s="52"/>
      <c r="BN24" s="52"/>
      <c r="BO24" s="52"/>
      <c r="BP24" s="52"/>
      <c r="BQ24" s="52"/>
      <c r="BR24" s="56"/>
      <c r="BS24" s="102"/>
      <c r="BT24" s="99"/>
      <c r="BU24" s="2"/>
      <c r="BV24" s="21"/>
    </row>
    <row r="25" spans="1:76">
      <c r="A25" s="2"/>
      <c r="B25" s="106"/>
      <c r="C25" s="109"/>
      <c r="D25" s="45">
        <f>IF(BV23&gt;0,DATEDIF(BV23,$BV$1,"YM"),"")</f>
        <v>9</v>
      </c>
      <c r="E25" s="1" t="s">
        <v>23</v>
      </c>
      <c r="F25" s="130"/>
      <c r="G25" s="130"/>
      <c r="H25" s="115"/>
      <c r="I25" s="20" t="s">
        <v>24</v>
      </c>
      <c r="O25" s="93"/>
      <c r="P25" s="94"/>
      <c r="Q25" s="94"/>
      <c r="R25" s="94"/>
      <c r="S25" s="95"/>
      <c r="T25" s="87"/>
      <c r="U25" s="88"/>
      <c r="V25" s="88"/>
      <c r="W25" s="88"/>
      <c r="X25" s="89"/>
      <c r="Y25" s="87"/>
      <c r="Z25" s="88"/>
      <c r="AA25" s="88"/>
      <c r="AB25" s="88"/>
      <c r="AC25" s="89"/>
      <c r="AD25" s="87"/>
      <c r="AE25" s="88"/>
      <c r="AF25" s="88"/>
      <c r="AG25" s="88"/>
      <c r="AH25" s="89"/>
      <c r="AI25" s="87"/>
      <c r="AJ25" s="88"/>
      <c r="AK25" s="88"/>
      <c r="AL25" s="88"/>
      <c r="AM25" s="89"/>
      <c r="AN25" s="87"/>
      <c r="AO25" s="88"/>
      <c r="AP25" s="88"/>
      <c r="AQ25" s="88"/>
      <c r="AR25" s="89"/>
      <c r="AS25" s="87"/>
      <c r="AT25" s="88"/>
      <c r="AU25" s="88"/>
      <c r="AV25" s="88"/>
      <c r="AW25" s="89"/>
      <c r="AX25" s="87"/>
      <c r="AY25" s="88"/>
      <c r="AZ25" s="88"/>
      <c r="BA25" s="88"/>
      <c r="BB25" s="89"/>
      <c r="BC25" s="87"/>
      <c r="BD25" s="88"/>
      <c r="BE25" s="88"/>
      <c r="BF25" s="88"/>
      <c r="BG25" s="89"/>
      <c r="BH25" s="87"/>
      <c r="BI25" s="88"/>
      <c r="BJ25" s="88"/>
      <c r="BK25" s="88"/>
      <c r="BL25" s="89"/>
      <c r="BM25" s="87"/>
      <c r="BN25" s="88"/>
      <c r="BO25" s="88"/>
      <c r="BP25" s="88"/>
      <c r="BQ25" s="89"/>
      <c r="BR25" s="47" t="str">
        <f>IF(SUM(J25:BQ25)&gt;0,SUM(J25:BQ25),"")</f>
        <v/>
      </c>
      <c r="BS25" s="103"/>
      <c r="BT25" s="100"/>
      <c r="BU25" s="2"/>
      <c r="BV25" s="57" t="str">
        <f>IF(ISBLANK(BV23),"",DATEDIF(BV23,$BV$1,"Y")&amp;"年"&amp;DATEDIF(BV23,$BV$1,"YM")&amp;"ヶ月")</f>
        <v>3年9ヶ月</v>
      </c>
      <c r="BW25" t="e">
        <f>IF(BR23="",BR25,BR23+BR25)</f>
        <v>#VALUE!</v>
      </c>
      <c r="BX25" t="e">
        <f>H23-BW25</f>
        <v>#VALUE!</v>
      </c>
    </row>
    <row r="26" spans="1:76">
      <c r="A26" s="2"/>
      <c r="B26" s="104" t="s">
        <v>38</v>
      </c>
      <c r="C26" s="107" t="s">
        <v>39</v>
      </c>
      <c r="D26" s="44">
        <f>IF(BV26&gt;0,DATEDIF(BV26,$BV$1,"Y"),"")</f>
        <v>3</v>
      </c>
      <c r="E26" s="18" t="s">
        <v>3</v>
      </c>
      <c r="F26" s="128">
        <v>6.5</v>
      </c>
      <c r="G26" s="128">
        <v>14</v>
      </c>
      <c r="H26" s="113">
        <f>SUM(F26:G28)</f>
        <v>20.5</v>
      </c>
      <c r="I26" s="19" t="s">
        <v>22</v>
      </c>
      <c r="J26" s="96">
        <v>1</v>
      </c>
      <c r="K26" s="91"/>
      <c r="L26" s="91"/>
      <c r="M26" s="91"/>
      <c r="N26" s="92"/>
      <c r="O26" s="90"/>
      <c r="P26" s="91"/>
      <c r="Q26" s="91"/>
      <c r="R26" s="91"/>
      <c r="S26" s="92"/>
      <c r="T26" s="84"/>
      <c r="U26" s="85"/>
      <c r="V26" s="85"/>
      <c r="W26" s="85"/>
      <c r="X26" s="86"/>
      <c r="Y26" s="84"/>
      <c r="Z26" s="85"/>
      <c r="AA26" s="85"/>
      <c r="AB26" s="85"/>
      <c r="AC26" s="86"/>
      <c r="AD26" s="84"/>
      <c r="AE26" s="85"/>
      <c r="AF26" s="85"/>
      <c r="AG26" s="85"/>
      <c r="AH26" s="86"/>
      <c r="AI26" s="84"/>
      <c r="AJ26" s="85"/>
      <c r="AK26" s="85"/>
      <c r="AL26" s="85"/>
      <c r="AM26" s="86"/>
      <c r="AN26" s="84"/>
      <c r="AO26" s="85"/>
      <c r="AP26" s="85"/>
      <c r="AQ26" s="85"/>
      <c r="AR26" s="86"/>
      <c r="AS26" s="84"/>
      <c r="AT26" s="85"/>
      <c r="AU26" s="85"/>
      <c r="AV26" s="85"/>
      <c r="AW26" s="86"/>
      <c r="AX26" s="84"/>
      <c r="AY26" s="85"/>
      <c r="AZ26" s="85"/>
      <c r="BA26" s="85"/>
      <c r="BB26" s="86"/>
      <c r="BC26" s="84"/>
      <c r="BD26" s="85"/>
      <c r="BE26" s="85"/>
      <c r="BF26" s="85"/>
      <c r="BG26" s="86"/>
      <c r="BH26" s="84"/>
      <c r="BI26" s="85"/>
      <c r="BJ26" s="85"/>
      <c r="BK26" s="85"/>
      <c r="BL26" s="86"/>
      <c r="BM26" s="84"/>
      <c r="BN26" s="85"/>
      <c r="BO26" s="85"/>
      <c r="BP26" s="85"/>
      <c r="BQ26" s="86"/>
      <c r="BR26" s="46">
        <f>IF(SUM(J26:BQ26)&gt;0,SUM(J26:BQ26),"")</f>
        <v>1</v>
      </c>
      <c r="BS26" s="101">
        <f>H26-SUM(J28:BQ28)</f>
        <v>20.5</v>
      </c>
      <c r="BT26" s="98"/>
      <c r="BU26" s="2"/>
      <c r="BV26" s="62">
        <v>43191</v>
      </c>
    </row>
    <row r="27" spans="1:76">
      <c r="A27" s="2"/>
      <c r="B27" s="105"/>
      <c r="C27" s="108"/>
      <c r="D27" s="55"/>
      <c r="E27" s="27"/>
      <c r="F27" s="129"/>
      <c r="G27" s="129"/>
      <c r="H27" s="114"/>
      <c r="I27" s="28"/>
      <c r="J27" s="53">
        <v>7</v>
      </c>
      <c r="K27" s="53"/>
      <c r="L27" s="53"/>
      <c r="M27" s="53"/>
      <c r="N27" s="53"/>
      <c r="O27" s="53"/>
      <c r="P27" s="53"/>
      <c r="Q27" s="53"/>
      <c r="R27" s="53"/>
      <c r="S27" s="53"/>
      <c r="T27" s="54"/>
      <c r="U27" s="54"/>
      <c r="V27" s="54"/>
      <c r="W27" s="54"/>
      <c r="X27" s="54"/>
      <c r="Y27" s="54"/>
      <c r="Z27" s="54"/>
      <c r="AA27" s="54"/>
      <c r="AB27" s="54"/>
      <c r="AC27" s="54"/>
      <c r="AD27" s="54"/>
      <c r="AE27" s="54"/>
      <c r="AF27" s="54"/>
      <c r="AG27" s="5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54"/>
      <c r="BH27" s="54"/>
      <c r="BI27" s="54"/>
      <c r="BJ27" s="54"/>
      <c r="BK27" s="54"/>
      <c r="BL27" s="54"/>
      <c r="BM27" s="54"/>
      <c r="BN27" s="54"/>
      <c r="BO27" s="54"/>
      <c r="BP27" s="54"/>
      <c r="BQ27" s="54"/>
      <c r="BR27" s="56"/>
      <c r="BS27" s="102"/>
      <c r="BT27" s="99"/>
      <c r="BU27" s="2"/>
      <c r="BV27" s="21"/>
    </row>
    <row r="28" spans="1:76">
      <c r="A28" s="2"/>
      <c r="B28" s="106"/>
      <c r="C28" s="109"/>
      <c r="D28" s="45">
        <f>IF(BV26&gt;0,DATEDIF(BV26,$BV$1,"YM"),"")</f>
        <v>0</v>
      </c>
      <c r="E28" s="1" t="s">
        <v>23</v>
      </c>
      <c r="F28" s="130"/>
      <c r="G28" s="130"/>
      <c r="H28" s="115"/>
      <c r="I28" s="20" t="s">
        <v>24</v>
      </c>
      <c r="J28" s="150"/>
      <c r="K28" s="151"/>
      <c r="L28" s="151"/>
      <c r="M28" s="151"/>
      <c r="N28" s="152"/>
      <c r="O28" s="93"/>
      <c r="P28" s="94"/>
      <c r="Q28" s="94"/>
      <c r="R28" s="94"/>
      <c r="S28" s="95"/>
      <c r="T28" s="87"/>
      <c r="U28" s="88"/>
      <c r="V28" s="88"/>
      <c r="W28" s="88"/>
      <c r="X28" s="89"/>
      <c r="Y28" s="87"/>
      <c r="Z28" s="88"/>
      <c r="AA28" s="88"/>
      <c r="AB28" s="88"/>
      <c r="AC28" s="89"/>
      <c r="AD28" s="87"/>
      <c r="AE28" s="88"/>
      <c r="AF28" s="88"/>
      <c r="AG28" s="88"/>
      <c r="AH28" s="89"/>
      <c r="AI28" s="87"/>
      <c r="AJ28" s="88"/>
      <c r="AK28" s="88"/>
      <c r="AL28" s="88"/>
      <c r="AM28" s="89"/>
      <c r="AN28" s="87"/>
      <c r="AO28" s="88"/>
      <c r="AP28" s="88"/>
      <c r="AQ28" s="88"/>
      <c r="AR28" s="89"/>
      <c r="AS28" s="87"/>
      <c r="AT28" s="88"/>
      <c r="AU28" s="88"/>
      <c r="AV28" s="88"/>
      <c r="AW28" s="89"/>
      <c r="AX28" s="87"/>
      <c r="AY28" s="88"/>
      <c r="AZ28" s="88"/>
      <c r="BA28" s="88"/>
      <c r="BB28" s="89"/>
      <c r="BC28" s="87"/>
      <c r="BD28" s="88"/>
      <c r="BE28" s="88"/>
      <c r="BF28" s="88"/>
      <c r="BG28" s="89"/>
      <c r="BH28" s="87"/>
      <c r="BI28" s="88"/>
      <c r="BJ28" s="88"/>
      <c r="BK28" s="88"/>
      <c r="BL28" s="89"/>
      <c r="BM28" s="87"/>
      <c r="BN28" s="88"/>
      <c r="BO28" s="88"/>
      <c r="BP28" s="88"/>
      <c r="BQ28" s="89"/>
      <c r="BR28" s="47" t="str">
        <f>IF(SUM(J28:BQ28)&gt;0,SUM(J28:BQ28),"")</f>
        <v/>
      </c>
      <c r="BS28" s="103"/>
      <c r="BT28" s="100"/>
      <c r="BU28" s="2"/>
      <c r="BV28" s="57" t="str">
        <f>IF(ISBLANK(BV26),"",DATEDIF(BV26,$BV$1,"Y")&amp;"年"&amp;DATEDIF(BV26,$BV$1,"YM")&amp;"ヶ月")</f>
        <v>3年0ヶ月</v>
      </c>
      <c r="BW28" t="e">
        <f>IF(BR26="",BR28,BR26+BR28)</f>
        <v>#VALUE!</v>
      </c>
      <c r="BX28" t="e">
        <f>H26-BW28</f>
        <v>#VALUE!</v>
      </c>
    </row>
    <row r="29" spans="1:76">
      <c r="A29" s="2"/>
      <c r="B29" s="104" t="s">
        <v>40</v>
      </c>
      <c r="C29" s="107" t="s">
        <v>39</v>
      </c>
      <c r="D29" s="44">
        <f>IF(BV29&gt;0,DATEDIF(BV29,$BV$1,"Y"),"")</f>
        <v>1</v>
      </c>
      <c r="E29" s="18" t="s">
        <v>3</v>
      </c>
      <c r="F29" s="128">
        <v>0</v>
      </c>
      <c r="G29" s="110">
        <v>12</v>
      </c>
      <c r="H29" s="113">
        <f>SUM(F29:G31)</f>
        <v>12</v>
      </c>
      <c r="I29" s="19" t="s">
        <v>22</v>
      </c>
      <c r="J29" s="90"/>
      <c r="K29" s="91"/>
      <c r="L29" s="91"/>
      <c r="M29" s="91"/>
      <c r="N29" s="92"/>
      <c r="O29" s="90"/>
      <c r="P29" s="91"/>
      <c r="Q29" s="91"/>
      <c r="R29" s="91"/>
      <c r="S29" s="92"/>
      <c r="T29" s="84"/>
      <c r="U29" s="85"/>
      <c r="V29" s="85"/>
      <c r="W29" s="85"/>
      <c r="X29" s="86"/>
      <c r="Y29" s="84"/>
      <c r="Z29" s="85"/>
      <c r="AA29" s="85"/>
      <c r="AB29" s="85"/>
      <c r="AC29" s="86"/>
      <c r="AD29" s="84"/>
      <c r="AE29" s="85"/>
      <c r="AF29" s="85"/>
      <c r="AG29" s="85"/>
      <c r="AH29" s="86"/>
      <c r="AI29" s="84"/>
      <c r="AJ29" s="85"/>
      <c r="AK29" s="85"/>
      <c r="AL29" s="85"/>
      <c r="AM29" s="86"/>
      <c r="AN29" s="84"/>
      <c r="AO29" s="85"/>
      <c r="AP29" s="85"/>
      <c r="AQ29" s="85"/>
      <c r="AR29" s="86"/>
      <c r="AS29" s="84"/>
      <c r="AT29" s="85"/>
      <c r="AU29" s="85"/>
      <c r="AV29" s="85"/>
      <c r="AW29" s="86"/>
      <c r="AX29" s="84"/>
      <c r="AY29" s="85"/>
      <c r="AZ29" s="85"/>
      <c r="BA29" s="85"/>
      <c r="BB29" s="86"/>
      <c r="BC29" s="84"/>
      <c r="BD29" s="85"/>
      <c r="BE29" s="85"/>
      <c r="BF29" s="85"/>
      <c r="BG29" s="86"/>
      <c r="BH29" s="84"/>
      <c r="BI29" s="85"/>
      <c r="BJ29" s="85"/>
      <c r="BK29" s="85"/>
      <c r="BL29" s="86"/>
      <c r="BM29" s="84"/>
      <c r="BN29" s="85"/>
      <c r="BO29" s="85"/>
      <c r="BP29" s="85"/>
      <c r="BQ29" s="86"/>
      <c r="BR29" s="46" t="str">
        <f>IF(SUM(J29:BQ29)&gt;0,SUM(J29:BQ29),"")</f>
        <v/>
      </c>
      <c r="BS29" s="101">
        <f>H29-SUM(J31:BQ31)</f>
        <v>12</v>
      </c>
      <c r="BT29" s="98"/>
      <c r="BU29" s="2"/>
      <c r="BV29" s="62">
        <v>43770</v>
      </c>
    </row>
    <row r="30" spans="1:76">
      <c r="A30" s="2"/>
      <c r="B30" s="105"/>
      <c r="C30" s="108"/>
      <c r="D30" s="55"/>
      <c r="E30" s="27"/>
      <c r="F30" s="129"/>
      <c r="G30" s="111"/>
      <c r="H30" s="114"/>
      <c r="I30" s="28"/>
      <c r="J30" s="53"/>
      <c r="K30" s="53"/>
      <c r="L30" s="53"/>
      <c r="M30" s="53"/>
      <c r="N30" s="53"/>
      <c r="O30" s="53"/>
      <c r="P30" s="53"/>
      <c r="Q30" s="53"/>
      <c r="R30" s="53"/>
      <c r="S30" s="53"/>
      <c r="T30" s="54"/>
      <c r="U30" s="54"/>
      <c r="V30" s="54"/>
      <c r="W30" s="54"/>
      <c r="X30" s="54"/>
      <c r="Y30" s="54"/>
      <c r="Z30" s="54"/>
      <c r="AA30" s="54"/>
      <c r="AB30" s="54"/>
      <c r="AC30" s="54"/>
      <c r="AD30" s="54"/>
      <c r="AE30" s="54"/>
      <c r="AF30" s="54"/>
      <c r="AG30" s="5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54"/>
      <c r="BH30" s="54"/>
      <c r="BI30" s="54"/>
      <c r="BJ30" s="54"/>
      <c r="BK30" s="54"/>
      <c r="BL30" s="54"/>
      <c r="BM30" s="54"/>
      <c r="BN30" s="54"/>
      <c r="BO30" s="54"/>
      <c r="BP30" s="54"/>
      <c r="BQ30" s="54"/>
      <c r="BR30" s="56"/>
      <c r="BS30" s="102"/>
      <c r="BT30" s="99"/>
      <c r="BU30" s="2"/>
      <c r="BV30" s="21"/>
    </row>
    <row r="31" spans="1:76">
      <c r="A31" s="2"/>
      <c r="B31" s="106"/>
      <c r="C31" s="109"/>
      <c r="D31" s="45">
        <f>IF(BV29&gt;0,DATEDIF(BV29,$BV$1,"YM"),"")</f>
        <v>5</v>
      </c>
      <c r="E31" s="1" t="s">
        <v>23</v>
      </c>
      <c r="F31" s="130"/>
      <c r="G31" s="112"/>
      <c r="H31" s="115"/>
      <c r="I31" s="20" t="s">
        <v>24</v>
      </c>
      <c r="J31" s="93"/>
      <c r="K31" s="94"/>
      <c r="L31" s="94"/>
      <c r="M31" s="94"/>
      <c r="N31" s="95"/>
      <c r="O31" s="93"/>
      <c r="P31" s="94"/>
      <c r="Q31" s="94"/>
      <c r="R31" s="94"/>
      <c r="S31" s="95"/>
      <c r="T31" s="87"/>
      <c r="U31" s="88"/>
      <c r="V31" s="88"/>
      <c r="W31" s="88"/>
      <c r="X31" s="89"/>
      <c r="Y31" s="87"/>
      <c r="Z31" s="88"/>
      <c r="AA31" s="88"/>
      <c r="AB31" s="88"/>
      <c r="AC31" s="89"/>
      <c r="AD31" s="87"/>
      <c r="AE31" s="88"/>
      <c r="AF31" s="88"/>
      <c r="AG31" s="88"/>
      <c r="AH31" s="89"/>
      <c r="AI31" s="87"/>
      <c r="AJ31" s="88"/>
      <c r="AK31" s="88"/>
      <c r="AL31" s="88"/>
      <c r="AM31" s="89"/>
      <c r="AN31" s="87"/>
      <c r="AO31" s="88"/>
      <c r="AP31" s="88"/>
      <c r="AQ31" s="88"/>
      <c r="AR31" s="89"/>
      <c r="AS31" s="87"/>
      <c r="AT31" s="88"/>
      <c r="AU31" s="88"/>
      <c r="AV31" s="88"/>
      <c r="AW31" s="89"/>
      <c r="AX31" s="87"/>
      <c r="AY31" s="88"/>
      <c r="AZ31" s="88"/>
      <c r="BA31" s="88"/>
      <c r="BB31" s="89"/>
      <c r="BC31" s="87"/>
      <c r="BD31" s="88"/>
      <c r="BE31" s="88"/>
      <c r="BF31" s="88"/>
      <c r="BG31" s="89"/>
      <c r="BH31" s="87"/>
      <c r="BI31" s="88"/>
      <c r="BJ31" s="88"/>
      <c r="BK31" s="88"/>
      <c r="BL31" s="89"/>
      <c r="BM31" s="87"/>
      <c r="BN31" s="88"/>
      <c r="BO31" s="88"/>
      <c r="BP31" s="88"/>
      <c r="BQ31" s="89"/>
      <c r="BR31" s="61" t="str">
        <f>IF(SUM(J31:BQ31)&gt;0,SUM(J31:BQ31),"")</f>
        <v/>
      </c>
      <c r="BS31" s="103"/>
      <c r="BT31" s="100"/>
      <c r="BU31" s="2"/>
      <c r="BV31" s="57" t="str">
        <f>IF(ISBLANK(BV29),"",DATEDIF(BV29,$BV$1,"Y")&amp;"年"&amp;DATEDIF(BV29,$BV$1,"YM")&amp;"ヶ月")</f>
        <v>1年5ヶ月</v>
      </c>
      <c r="BW31" t="str">
        <f>IF(BR29="",BR31,BR29+BR31)</f>
        <v/>
      </c>
      <c r="BX31" t="e">
        <f>H29-BW31</f>
        <v>#VALUE!</v>
      </c>
    </row>
    <row r="32" spans="1:76">
      <c r="A32" s="2"/>
      <c r="B32" s="104" t="s">
        <v>41</v>
      </c>
      <c r="C32" s="107" t="s">
        <v>27</v>
      </c>
      <c r="D32" s="44">
        <f>IF(BV32&gt;0,DATEDIF(BV32,$BV$1,"Y"),"")</f>
        <v>21</v>
      </c>
      <c r="E32" s="18" t="s">
        <v>3</v>
      </c>
      <c r="F32" s="110">
        <v>20</v>
      </c>
      <c r="G32" s="110">
        <v>20</v>
      </c>
      <c r="H32" s="113">
        <f>SUM(F32:G34)</f>
        <v>40</v>
      </c>
      <c r="I32" s="19" t="s">
        <v>22</v>
      </c>
      <c r="J32" s="96">
        <v>1</v>
      </c>
      <c r="K32" s="91"/>
      <c r="L32" s="91"/>
      <c r="M32" s="91"/>
      <c r="N32" s="92"/>
      <c r="O32" s="90">
        <v>2</v>
      </c>
      <c r="P32" s="91"/>
      <c r="Q32" s="91"/>
      <c r="R32" s="91"/>
      <c r="S32" s="92"/>
      <c r="T32" s="84"/>
      <c r="U32" s="85"/>
      <c r="V32" s="85"/>
      <c r="W32" s="85"/>
      <c r="X32" s="86"/>
      <c r="Y32" s="84">
        <v>1</v>
      </c>
      <c r="Z32" s="85"/>
      <c r="AA32" s="85"/>
      <c r="AB32" s="85"/>
      <c r="AC32" s="86"/>
      <c r="AD32" s="84"/>
      <c r="AE32" s="85"/>
      <c r="AF32" s="85"/>
      <c r="AG32" s="85"/>
      <c r="AH32" s="86"/>
      <c r="AI32" s="84"/>
      <c r="AJ32" s="85"/>
      <c r="AK32" s="85"/>
      <c r="AL32" s="85"/>
      <c r="AM32" s="86"/>
      <c r="AN32" s="84"/>
      <c r="AO32" s="85"/>
      <c r="AP32" s="85"/>
      <c r="AQ32" s="85"/>
      <c r="AR32" s="86"/>
      <c r="AS32" s="84">
        <v>1</v>
      </c>
      <c r="AT32" s="85"/>
      <c r="AU32" s="85"/>
      <c r="AV32" s="85"/>
      <c r="AW32" s="86"/>
      <c r="AX32" s="84"/>
      <c r="AY32" s="85"/>
      <c r="AZ32" s="85"/>
      <c r="BA32" s="85"/>
      <c r="BB32" s="86"/>
      <c r="BC32" s="84"/>
      <c r="BD32" s="85"/>
      <c r="BE32" s="85"/>
      <c r="BF32" s="85"/>
      <c r="BG32" s="86"/>
      <c r="BH32" s="84"/>
      <c r="BI32" s="85"/>
      <c r="BJ32" s="85"/>
      <c r="BK32" s="85"/>
      <c r="BL32" s="86"/>
      <c r="BM32" s="84"/>
      <c r="BN32" s="85"/>
      <c r="BO32" s="85"/>
      <c r="BP32" s="85"/>
      <c r="BQ32" s="86"/>
      <c r="BR32" s="46">
        <f>IF(SUM(J32:BQ32)&gt;0,SUM(J32:BQ32),"")</f>
        <v>5</v>
      </c>
      <c r="BS32" s="101">
        <f>H32-SUM(J34:BQ34)</f>
        <v>40</v>
      </c>
      <c r="BT32" s="98"/>
      <c r="BU32" s="2"/>
      <c r="BV32" s="62">
        <v>36617</v>
      </c>
    </row>
    <row r="33" spans="1:76">
      <c r="A33" s="2"/>
      <c r="B33" s="105"/>
      <c r="C33" s="108"/>
      <c r="D33" s="55"/>
      <c r="E33" s="27"/>
      <c r="F33" s="111"/>
      <c r="G33" s="111"/>
      <c r="H33" s="114"/>
      <c r="I33" s="28"/>
      <c r="J33" s="53">
        <v>30</v>
      </c>
      <c r="K33" s="53"/>
      <c r="L33" s="53"/>
      <c r="M33" s="53"/>
      <c r="N33" s="53"/>
      <c r="O33" s="53">
        <v>6</v>
      </c>
      <c r="P33" s="53">
        <v>7</v>
      </c>
      <c r="Q33" s="53"/>
      <c r="R33" s="53"/>
      <c r="S33" s="53"/>
      <c r="T33" s="54"/>
      <c r="U33" s="54"/>
      <c r="V33" s="54"/>
      <c r="W33" s="54"/>
      <c r="X33" s="54"/>
      <c r="Y33" s="54">
        <v>5</v>
      </c>
      <c r="Z33" s="54"/>
      <c r="AA33" s="54"/>
      <c r="AB33" s="54"/>
      <c r="AC33" s="54"/>
      <c r="AD33" s="54"/>
      <c r="AE33" s="54"/>
      <c r="AF33" s="54"/>
      <c r="AG33" s="54"/>
      <c r="AH33" s="54"/>
      <c r="AI33" s="54"/>
      <c r="AJ33" s="54"/>
      <c r="AK33" s="54"/>
      <c r="AL33" s="54"/>
      <c r="AM33" s="54"/>
      <c r="AN33" s="54"/>
      <c r="AO33" s="54"/>
      <c r="AP33" s="54"/>
      <c r="AQ33" s="54"/>
      <c r="AR33" s="54"/>
      <c r="AS33" s="54">
        <v>22</v>
      </c>
      <c r="AT33" s="54"/>
      <c r="AU33" s="54"/>
      <c r="AV33" s="54"/>
      <c r="AW33" s="54"/>
      <c r="AX33" s="54"/>
      <c r="AY33" s="54"/>
      <c r="AZ33" s="54"/>
      <c r="BA33" s="54"/>
      <c r="BB33" s="54"/>
      <c r="BC33" s="54"/>
      <c r="BD33" s="54"/>
      <c r="BE33" s="54"/>
      <c r="BF33" s="54"/>
      <c r="BG33" s="54"/>
      <c r="BH33" s="54"/>
      <c r="BI33" s="54"/>
      <c r="BJ33" s="54"/>
      <c r="BK33" s="54"/>
      <c r="BL33" s="54"/>
      <c r="BM33" s="54"/>
      <c r="BN33" s="54"/>
      <c r="BO33" s="54"/>
      <c r="BP33" s="54"/>
      <c r="BQ33" s="54"/>
      <c r="BR33" s="56"/>
      <c r="BS33" s="102"/>
      <c r="BT33" s="99"/>
      <c r="BU33" s="2"/>
      <c r="BV33" s="21"/>
    </row>
    <row r="34" spans="1:76">
      <c r="A34" s="2"/>
      <c r="B34" s="106"/>
      <c r="C34" s="109"/>
      <c r="D34" s="45">
        <f>IF(BV32&gt;0,DATEDIF(BV32,$BV$1,"YM"),"")</f>
        <v>0</v>
      </c>
      <c r="E34" s="1" t="s">
        <v>23</v>
      </c>
      <c r="F34" s="112"/>
      <c r="G34" s="112"/>
      <c r="H34" s="115"/>
      <c r="I34" s="20" t="s">
        <v>24</v>
      </c>
      <c r="J34" s="147"/>
      <c r="K34" s="148"/>
      <c r="L34" s="148"/>
      <c r="M34" s="148"/>
      <c r="N34" s="149"/>
      <c r="O34" s="93"/>
      <c r="P34" s="94"/>
      <c r="Q34" s="94"/>
      <c r="R34" s="94"/>
      <c r="S34" s="95"/>
      <c r="T34" s="87"/>
      <c r="U34" s="88"/>
      <c r="V34" s="88"/>
      <c r="W34" s="88"/>
      <c r="X34" s="89"/>
      <c r="Y34" s="87"/>
      <c r="Z34" s="88"/>
      <c r="AA34" s="88"/>
      <c r="AB34" s="88"/>
      <c r="AC34" s="89"/>
      <c r="AD34" s="87"/>
      <c r="AE34" s="88"/>
      <c r="AF34" s="88"/>
      <c r="AG34" s="88"/>
      <c r="AH34" s="89"/>
      <c r="AI34" s="87"/>
      <c r="AJ34" s="88"/>
      <c r="AK34" s="88"/>
      <c r="AL34" s="88"/>
      <c r="AM34" s="89"/>
      <c r="AN34" s="87"/>
      <c r="AO34" s="88"/>
      <c r="AP34" s="88"/>
      <c r="AQ34" s="88"/>
      <c r="AR34" s="89"/>
      <c r="AS34" s="87"/>
      <c r="AT34" s="88"/>
      <c r="AU34" s="88"/>
      <c r="AV34" s="88"/>
      <c r="AW34" s="89"/>
      <c r="AX34" s="87"/>
      <c r="AY34" s="88"/>
      <c r="AZ34" s="88"/>
      <c r="BA34" s="88"/>
      <c r="BB34" s="89"/>
      <c r="BC34" s="87"/>
      <c r="BD34" s="88"/>
      <c r="BE34" s="88"/>
      <c r="BF34" s="88"/>
      <c r="BG34" s="89"/>
      <c r="BH34" s="87"/>
      <c r="BI34" s="88"/>
      <c r="BJ34" s="88"/>
      <c r="BK34" s="88"/>
      <c r="BL34" s="89"/>
      <c r="BM34" s="87"/>
      <c r="BN34" s="88"/>
      <c r="BO34" s="88"/>
      <c r="BP34" s="88"/>
      <c r="BQ34" s="89"/>
      <c r="BR34" s="61" t="str">
        <f>IF(SUM(J34:BQ34)&gt;0,SUM(J34:BQ34),"")</f>
        <v/>
      </c>
      <c r="BS34" s="103"/>
      <c r="BT34" s="100"/>
      <c r="BU34" s="2"/>
      <c r="BV34" s="57" t="str">
        <f>IF(ISBLANK(BV32),"",DATEDIF(BV32,$BV$1,"Y")&amp;"年"&amp;DATEDIF(BV32,$BV$1,"YM")&amp;"ヶ月")</f>
        <v>21年0ヶ月</v>
      </c>
      <c r="BW34" t="e">
        <f>IF(BR32="",BR34,BR32+BR34)</f>
        <v>#VALUE!</v>
      </c>
      <c r="BX34" t="e">
        <f>H32-BW34</f>
        <v>#VALUE!</v>
      </c>
    </row>
    <row r="35" spans="1:76">
      <c r="A35" s="2"/>
      <c r="B35" s="104" t="s">
        <v>42</v>
      </c>
      <c r="C35" s="107" t="s">
        <v>39</v>
      </c>
      <c r="D35" s="44">
        <f>IF(BV35&gt;0,DATEDIF(BV35,$BV$1,"Y"),"")</f>
        <v>2</v>
      </c>
      <c r="E35" s="18" t="s">
        <v>3</v>
      </c>
      <c r="F35" s="110">
        <v>3</v>
      </c>
      <c r="G35" s="110">
        <v>12</v>
      </c>
      <c r="H35" s="113">
        <f>SUM(F35:G37)</f>
        <v>15</v>
      </c>
      <c r="I35" s="19" t="s">
        <v>22</v>
      </c>
      <c r="J35" s="96">
        <v>2</v>
      </c>
      <c r="K35" s="91"/>
      <c r="L35" s="91"/>
      <c r="M35" s="91"/>
      <c r="N35" s="92"/>
      <c r="O35" s="90"/>
      <c r="P35" s="91"/>
      <c r="Q35" s="91"/>
      <c r="R35" s="91"/>
      <c r="S35" s="92"/>
      <c r="T35" s="84"/>
      <c r="U35" s="85"/>
      <c r="V35" s="85"/>
      <c r="W35" s="85"/>
      <c r="X35" s="86"/>
      <c r="Y35" s="84"/>
      <c r="Z35" s="85"/>
      <c r="AA35" s="85"/>
      <c r="AB35" s="85"/>
      <c r="AC35" s="86"/>
      <c r="AD35" s="84">
        <v>3</v>
      </c>
      <c r="AE35" s="85"/>
      <c r="AF35" s="85"/>
      <c r="AG35" s="85"/>
      <c r="AH35" s="86"/>
      <c r="AI35" s="84"/>
      <c r="AJ35" s="85"/>
      <c r="AK35" s="85"/>
      <c r="AL35" s="85"/>
      <c r="AM35" s="86"/>
      <c r="AN35" s="84"/>
      <c r="AO35" s="85"/>
      <c r="AP35" s="85"/>
      <c r="AQ35" s="85"/>
      <c r="AR35" s="86"/>
      <c r="AS35" s="84"/>
      <c r="AT35" s="85"/>
      <c r="AU35" s="85"/>
      <c r="AV35" s="85"/>
      <c r="AW35" s="86"/>
      <c r="AX35" s="84"/>
      <c r="AY35" s="85"/>
      <c r="AZ35" s="85"/>
      <c r="BA35" s="85"/>
      <c r="BB35" s="86"/>
      <c r="BC35" s="84"/>
      <c r="BD35" s="85"/>
      <c r="BE35" s="85"/>
      <c r="BF35" s="85"/>
      <c r="BG35" s="86"/>
      <c r="BH35" s="84"/>
      <c r="BI35" s="85"/>
      <c r="BJ35" s="85"/>
      <c r="BK35" s="85"/>
      <c r="BL35" s="86"/>
      <c r="BM35" s="84">
        <v>1</v>
      </c>
      <c r="BN35" s="85"/>
      <c r="BO35" s="85"/>
      <c r="BP35" s="85"/>
      <c r="BQ35" s="86"/>
      <c r="BR35" s="46">
        <f>IF(SUM(J35:BQ35)&gt;0,SUM(J35:BQ35),"")</f>
        <v>6</v>
      </c>
      <c r="BS35" s="101">
        <f>H35-SUM(J37:BQ37)</f>
        <v>15</v>
      </c>
      <c r="BT35" s="98"/>
      <c r="BU35" s="2"/>
      <c r="BV35" s="62">
        <v>43556</v>
      </c>
    </row>
    <row r="36" spans="1:76">
      <c r="A36" s="2"/>
      <c r="B36" s="105"/>
      <c r="C36" s="108"/>
      <c r="D36" s="55"/>
      <c r="E36" s="27"/>
      <c r="F36" s="111"/>
      <c r="G36" s="111"/>
      <c r="H36" s="114"/>
      <c r="I36" s="28"/>
      <c r="J36" s="53" t="s">
        <v>43</v>
      </c>
      <c r="K36" s="53" t="s">
        <v>44</v>
      </c>
      <c r="L36" s="53">
        <v>30</v>
      </c>
      <c r="M36" s="53"/>
      <c r="N36" s="53"/>
      <c r="O36" s="53"/>
      <c r="P36" s="53"/>
      <c r="Q36" s="53"/>
      <c r="R36" s="53"/>
      <c r="S36" s="53"/>
      <c r="T36" s="54"/>
      <c r="U36" s="54"/>
      <c r="V36" s="54"/>
      <c r="W36" s="54"/>
      <c r="X36" s="54"/>
      <c r="Y36" s="54"/>
      <c r="Z36" s="54"/>
      <c r="AA36" s="54"/>
      <c r="AB36" s="54"/>
      <c r="AC36" s="54"/>
      <c r="AD36" s="54">
        <v>2</v>
      </c>
      <c r="AE36" s="54">
        <v>16</v>
      </c>
      <c r="AF36" s="54">
        <v>23</v>
      </c>
      <c r="AG36" s="5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54"/>
      <c r="BH36" s="54"/>
      <c r="BI36" s="54"/>
      <c r="BJ36" s="54"/>
      <c r="BK36" s="54"/>
      <c r="BL36" s="54"/>
      <c r="BM36" s="54">
        <v>1</v>
      </c>
      <c r="BN36" s="54"/>
      <c r="BO36" s="54"/>
      <c r="BP36" s="54"/>
      <c r="BQ36" s="54"/>
      <c r="BR36" s="56"/>
      <c r="BS36" s="102"/>
      <c r="BT36" s="99"/>
      <c r="BU36" s="2"/>
      <c r="BV36" s="21"/>
    </row>
    <row r="37" spans="1:76">
      <c r="A37" s="2"/>
      <c r="B37" s="106"/>
      <c r="C37" s="109"/>
      <c r="D37" s="45">
        <f>IF(BV35&gt;0,DATEDIF(BV35,$BV$1,"YM"),"")</f>
        <v>0</v>
      </c>
      <c r="E37" s="1" t="s">
        <v>23</v>
      </c>
      <c r="F37" s="112"/>
      <c r="G37" s="112"/>
      <c r="H37" s="115"/>
      <c r="I37" s="20" t="s">
        <v>24</v>
      </c>
      <c r="J37" s="147"/>
      <c r="K37" s="148"/>
      <c r="L37" s="148"/>
      <c r="M37" s="148"/>
      <c r="N37" s="149"/>
      <c r="O37" s="93"/>
      <c r="P37" s="94"/>
      <c r="Q37" s="94"/>
      <c r="R37" s="94"/>
      <c r="S37" s="95"/>
      <c r="T37" s="87"/>
      <c r="U37" s="88"/>
      <c r="V37" s="88"/>
      <c r="W37" s="88"/>
      <c r="X37" s="89"/>
      <c r="Y37" s="87"/>
      <c r="Z37" s="88"/>
      <c r="AA37" s="88"/>
      <c r="AB37" s="88"/>
      <c r="AC37" s="89"/>
      <c r="AD37" s="73"/>
      <c r="AE37" s="74"/>
      <c r="AF37" s="74"/>
      <c r="AG37" s="74"/>
      <c r="AH37" s="75"/>
      <c r="AI37" s="87"/>
      <c r="AJ37" s="88"/>
      <c r="AK37" s="88"/>
      <c r="AL37" s="88"/>
      <c r="AM37" s="89"/>
      <c r="AN37" s="87"/>
      <c r="AO37" s="88"/>
      <c r="AP37" s="88"/>
      <c r="AQ37" s="88"/>
      <c r="AR37" s="89"/>
      <c r="AS37" s="87"/>
      <c r="AT37" s="88"/>
      <c r="AU37" s="88"/>
      <c r="AV37" s="88"/>
      <c r="AW37" s="89"/>
      <c r="AX37" s="87"/>
      <c r="AY37" s="88"/>
      <c r="AZ37" s="88"/>
      <c r="BA37" s="88"/>
      <c r="BB37" s="89"/>
      <c r="BC37" s="87"/>
      <c r="BD37" s="88"/>
      <c r="BE37" s="88"/>
      <c r="BF37" s="88"/>
      <c r="BG37" s="89"/>
      <c r="BH37" s="87"/>
      <c r="BI37" s="88"/>
      <c r="BJ37" s="88"/>
      <c r="BK37" s="88"/>
      <c r="BL37" s="89"/>
      <c r="BM37" s="87"/>
      <c r="BN37" s="88"/>
      <c r="BO37" s="88"/>
      <c r="BP37" s="88"/>
      <c r="BQ37" s="89"/>
      <c r="BR37" s="47" t="str">
        <f>IF(SUM(J37:BQ37)&gt;0,SUM(J37:BQ37),"")</f>
        <v/>
      </c>
      <c r="BS37" s="103"/>
      <c r="BT37" s="100"/>
      <c r="BU37" s="2"/>
      <c r="BV37" s="57" t="str">
        <f>IF(ISBLANK(BV35),"",DATEDIF(BV35,$BV$1,"Y")&amp;"年"&amp;DATEDIF(BV35,$BV$1,"YM")&amp;"ヶ月")</f>
        <v>2年0ヶ月</v>
      </c>
      <c r="BW37" t="e">
        <f>IF(BR35="",BR37,BR35+BR37)</f>
        <v>#VALUE!</v>
      </c>
      <c r="BX37" t="e">
        <f>H35-BW37</f>
        <v>#VALUE!</v>
      </c>
    </row>
    <row r="38" spans="1:76">
      <c r="A38" s="2"/>
      <c r="B38" s="104" t="s">
        <v>45</v>
      </c>
      <c r="C38" s="107" t="s">
        <v>21</v>
      </c>
      <c r="D38" s="44">
        <f>IF(BV38&gt;0,DATEDIF(BV38,$BV$1,"Y"),"")</f>
        <v>32</v>
      </c>
      <c r="E38" s="18" t="s">
        <v>3</v>
      </c>
      <c r="F38" s="110">
        <v>20</v>
      </c>
      <c r="G38" s="110">
        <v>20</v>
      </c>
      <c r="H38" s="113">
        <f>SUM(F38:G40)</f>
        <v>40</v>
      </c>
      <c r="I38" s="19" t="s">
        <v>22</v>
      </c>
      <c r="J38" s="90"/>
      <c r="K38" s="91"/>
      <c r="L38" s="91"/>
      <c r="M38" s="91"/>
      <c r="N38" s="92"/>
      <c r="O38" s="90"/>
      <c r="P38" s="91"/>
      <c r="Q38" s="91"/>
      <c r="R38" s="91"/>
      <c r="S38" s="92"/>
      <c r="T38" s="84"/>
      <c r="U38" s="85"/>
      <c r="V38" s="85"/>
      <c r="W38" s="85"/>
      <c r="X38" s="86"/>
      <c r="Y38" s="84"/>
      <c r="Z38" s="85"/>
      <c r="AA38" s="85"/>
      <c r="AB38" s="85"/>
      <c r="AC38" s="86"/>
      <c r="AD38" s="84"/>
      <c r="AE38" s="85"/>
      <c r="AF38" s="85"/>
      <c r="AG38" s="85"/>
      <c r="AH38" s="86"/>
      <c r="AI38" s="90"/>
      <c r="AJ38" s="91"/>
      <c r="AK38" s="91"/>
      <c r="AL38" s="91"/>
      <c r="AM38" s="92"/>
      <c r="AN38" s="84"/>
      <c r="AO38" s="85"/>
      <c r="AP38" s="85"/>
      <c r="AQ38" s="85"/>
      <c r="AR38" s="86"/>
      <c r="AS38" s="84"/>
      <c r="AT38" s="85"/>
      <c r="AU38" s="85"/>
      <c r="AV38" s="85"/>
      <c r="AW38" s="86"/>
      <c r="AX38" s="84"/>
      <c r="AY38" s="85"/>
      <c r="AZ38" s="85"/>
      <c r="BA38" s="85"/>
      <c r="BB38" s="86"/>
      <c r="BC38" s="84"/>
      <c r="BD38" s="85"/>
      <c r="BE38" s="85"/>
      <c r="BF38" s="85"/>
      <c r="BG38" s="86"/>
      <c r="BH38" s="84"/>
      <c r="BI38" s="85"/>
      <c r="BJ38" s="85"/>
      <c r="BK38" s="85"/>
      <c r="BL38" s="86"/>
      <c r="BM38" s="84"/>
      <c r="BN38" s="85"/>
      <c r="BO38" s="85"/>
      <c r="BP38" s="85"/>
      <c r="BQ38" s="86"/>
      <c r="BR38" s="46" t="str">
        <f>IF(SUM(J38:BQ38)&gt;0,SUM(J38:BQ38),"")</f>
        <v/>
      </c>
      <c r="BS38" s="101">
        <f>H38-SUM(J40:BQ40)</f>
        <v>40</v>
      </c>
      <c r="BT38" s="78"/>
      <c r="BU38" s="2"/>
      <c r="BV38" s="62">
        <v>32599</v>
      </c>
    </row>
    <row r="39" spans="1:76">
      <c r="A39" s="2"/>
      <c r="B39" s="105"/>
      <c r="C39" s="108"/>
      <c r="D39" s="55"/>
      <c r="E39" s="27"/>
      <c r="F39" s="111"/>
      <c r="G39" s="111"/>
      <c r="H39" s="114"/>
      <c r="I39" s="28"/>
      <c r="J39" s="53"/>
      <c r="K39" s="53"/>
      <c r="L39" s="53"/>
      <c r="M39" s="53"/>
      <c r="N39" s="53"/>
      <c r="O39" s="53"/>
      <c r="P39" s="53"/>
      <c r="Q39" s="53"/>
      <c r="R39" s="53"/>
      <c r="S39" s="53"/>
      <c r="T39" s="54"/>
      <c r="U39" s="54"/>
      <c r="V39" s="54"/>
      <c r="W39" s="54"/>
      <c r="X39" s="54"/>
      <c r="Y39" s="54"/>
      <c r="Z39" s="54"/>
      <c r="AA39" s="54"/>
      <c r="AB39" s="54"/>
      <c r="AC39" s="54"/>
      <c r="AD39" s="54"/>
      <c r="AE39" s="54"/>
      <c r="AF39" s="54"/>
      <c r="AG39" s="5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54"/>
      <c r="BH39" s="54"/>
      <c r="BI39" s="54"/>
      <c r="BJ39" s="54"/>
      <c r="BK39" s="54"/>
      <c r="BL39" s="54"/>
      <c r="BM39" s="54"/>
      <c r="BN39" s="54"/>
      <c r="BO39" s="54"/>
      <c r="BP39" s="54"/>
      <c r="BQ39" s="54"/>
      <c r="BR39" s="56"/>
      <c r="BS39" s="102"/>
      <c r="BT39" s="79"/>
      <c r="BU39" s="2"/>
      <c r="BV39" s="21"/>
    </row>
    <row r="40" spans="1:76">
      <c r="A40" s="2"/>
      <c r="B40" s="106"/>
      <c r="C40" s="109"/>
      <c r="D40" s="45">
        <f>IF(BV38&gt;0,DATEDIF(BV38,$BV$1,"YM"),"")</f>
        <v>0</v>
      </c>
      <c r="E40" s="1" t="s">
        <v>23</v>
      </c>
      <c r="F40" s="112"/>
      <c r="G40" s="112"/>
      <c r="H40" s="115"/>
      <c r="I40" s="20" t="s">
        <v>24</v>
      </c>
      <c r="J40" s="97"/>
      <c r="K40" s="94"/>
      <c r="L40" s="94"/>
      <c r="M40" s="94"/>
      <c r="N40" s="95"/>
      <c r="O40" s="93"/>
      <c r="P40" s="94"/>
      <c r="Q40" s="94"/>
      <c r="R40" s="94"/>
      <c r="S40" s="95"/>
      <c r="T40" s="87"/>
      <c r="U40" s="88"/>
      <c r="V40" s="88"/>
      <c r="W40" s="88"/>
      <c r="X40" s="89"/>
      <c r="Y40" s="87"/>
      <c r="Z40" s="88"/>
      <c r="AA40" s="88"/>
      <c r="AB40" s="88"/>
      <c r="AC40" s="89"/>
      <c r="AD40" s="73"/>
      <c r="AE40" s="74"/>
      <c r="AF40" s="74"/>
      <c r="AG40" s="74"/>
      <c r="AH40" s="75"/>
      <c r="AI40" s="87"/>
      <c r="AJ40" s="88"/>
      <c r="AK40" s="88"/>
      <c r="AL40" s="88"/>
      <c r="AM40" s="89"/>
      <c r="AN40" s="87"/>
      <c r="AO40" s="88"/>
      <c r="AP40" s="88"/>
      <c r="AQ40" s="88"/>
      <c r="AR40" s="89"/>
      <c r="AS40" s="87"/>
      <c r="AT40" s="88"/>
      <c r="AU40" s="88"/>
      <c r="AV40" s="88"/>
      <c r="AW40" s="89"/>
      <c r="AX40" s="87"/>
      <c r="AY40" s="88"/>
      <c r="AZ40" s="88"/>
      <c r="BA40" s="88"/>
      <c r="BB40" s="89"/>
      <c r="BC40" s="87"/>
      <c r="BD40" s="88"/>
      <c r="BE40" s="88"/>
      <c r="BF40" s="88"/>
      <c r="BG40" s="89"/>
      <c r="BH40" s="87"/>
      <c r="BI40" s="88"/>
      <c r="BJ40" s="88"/>
      <c r="BK40" s="88"/>
      <c r="BL40" s="89"/>
      <c r="BM40" s="87"/>
      <c r="BN40" s="88"/>
      <c r="BO40" s="88"/>
      <c r="BP40" s="88"/>
      <c r="BQ40" s="89"/>
      <c r="BR40" s="47" t="str">
        <f>IF(SUM(J40:BQ40)&gt;0,SUM(J40:BQ40),"")</f>
        <v/>
      </c>
      <c r="BS40" s="103"/>
      <c r="BT40" s="80"/>
      <c r="BU40" s="2"/>
      <c r="BV40" s="57" t="str">
        <f>IF(ISBLANK(BV38),"",DATEDIF(BV38,$BV$1,"Y")&amp;"年"&amp;DATEDIF(BV38,$BV$1,"YM")&amp;"ヶ月")</f>
        <v>32年0ヶ月</v>
      </c>
      <c r="BW40" t="str">
        <f>IF(BR38="",BR40,BR38+BR40)</f>
        <v/>
      </c>
      <c r="BX40" t="e">
        <f>H38-BW40</f>
        <v>#VALUE!</v>
      </c>
    </row>
    <row r="41" spans="1:76">
      <c r="A41" s="2"/>
      <c r="B41" s="104" t="s">
        <v>46</v>
      </c>
      <c r="C41" s="107" t="s">
        <v>27</v>
      </c>
      <c r="D41" s="44">
        <f>IF(BV41&gt;0,DATEDIF(BV41,$BV$1,"Y"),"")</f>
        <v>30</v>
      </c>
      <c r="E41" s="18" t="s">
        <v>3</v>
      </c>
      <c r="F41" s="110">
        <v>20</v>
      </c>
      <c r="G41" s="110">
        <v>20</v>
      </c>
      <c r="H41" s="113">
        <f>SUM(F41:G43)</f>
        <v>40</v>
      </c>
      <c r="I41" s="19" t="s">
        <v>22</v>
      </c>
      <c r="J41" s="90"/>
      <c r="K41" s="91"/>
      <c r="L41" s="91"/>
      <c r="M41" s="91"/>
      <c r="N41" s="92"/>
      <c r="O41" s="90"/>
      <c r="P41" s="91"/>
      <c r="Q41" s="91"/>
      <c r="R41" s="91"/>
      <c r="S41" s="92"/>
      <c r="T41" s="84"/>
      <c r="U41" s="85"/>
      <c r="V41" s="85"/>
      <c r="W41" s="85"/>
      <c r="X41" s="86"/>
      <c r="Y41" s="84"/>
      <c r="Z41" s="85"/>
      <c r="AA41" s="85"/>
      <c r="AB41" s="85"/>
      <c r="AC41" s="86"/>
      <c r="AD41" s="90"/>
      <c r="AE41" s="91"/>
      <c r="AF41" s="91"/>
      <c r="AG41" s="91"/>
      <c r="AH41" s="92"/>
      <c r="AI41" s="90"/>
      <c r="AJ41" s="91"/>
      <c r="AK41" s="91"/>
      <c r="AL41" s="91"/>
      <c r="AM41" s="92"/>
      <c r="AN41" s="84"/>
      <c r="AO41" s="85"/>
      <c r="AP41" s="85"/>
      <c r="AQ41" s="85"/>
      <c r="AR41" s="86"/>
      <c r="AS41" s="84"/>
      <c r="AT41" s="85"/>
      <c r="AU41" s="85"/>
      <c r="AV41" s="85"/>
      <c r="AW41" s="86"/>
      <c r="AX41" s="84"/>
      <c r="AY41" s="85"/>
      <c r="AZ41" s="85"/>
      <c r="BA41" s="85"/>
      <c r="BB41" s="86"/>
      <c r="BC41" s="84"/>
      <c r="BD41" s="85"/>
      <c r="BE41" s="85"/>
      <c r="BF41" s="85"/>
      <c r="BG41" s="86"/>
      <c r="BH41" s="84"/>
      <c r="BI41" s="85"/>
      <c r="BJ41" s="85"/>
      <c r="BK41" s="85"/>
      <c r="BL41" s="86"/>
      <c r="BM41" s="84"/>
      <c r="BN41" s="85"/>
      <c r="BO41" s="85"/>
      <c r="BP41" s="85"/>
      <c r="BQ41" s="86"/>
      <c r="BR41" s="46" t="str">
        <f>IF(SUM(J41:BQ41)&gt;0,SUM(J41:BQ41),"")</f>
        <v/>
      </c>
      <c r="BS41" s="101">
        <f>H41-SUM(J43:BQ43)</f>
        <v>40</v>
      </c>
      <c r="BT41" s="78"/>
      <c r="BU41" s="2"/>
      <c r="BV41" s="62">
        <v>32983</v>
      </c>
    </row>
    <row r="42" spans="1:76">
      <c r="A42" s="2"/>
      <c r="B42" s="105"/>
      <c r="C42" s="108"/>
      <c r="D42" s="55"/>
      <c r="E42" s="27"/>
      <c r="F42" s="111"/>
      <c r="G42" s="111"/>
      <c r="H42" s="114"/>
      <c r="I42" s="28"/>
      <c r="J42" s="53"/>
      <c r="K42" s="53"/>
      <c r="L42" s="53"/>
      <c r="M42" s="53"/>
      <c r="N42" s="53"/>
      <c r="O42" s="53"/>
      <c r="P42" s="53"/>
      <c r="Q42" s="53"/>
      <c r="R42" s="53"/>
      <c r="S42" s="53"/>
      <c r="T42" s="54"/>
      <c r="U42" s="54"/>
      <c r="V42" s="54"/>
      <c r="W42" s="54"/>
      <c r="X42" s="54"/>
      <c r="Y42" s="54"/>
      <c r="Z42" s="54"/>
      <c r="AA42" s="54"/>
      <c r="AB42" s="54"/>
      <c r="AC42" s="54"/>
      <c r="AD42" s="54"/>
      <c r="AE42" s="54"/>
      <c r="AF42" s="54"/>
      <c r="AG42" s="5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54"/>
      <c r="BH42" s="54"/>
      <c r="BI42" s="54"/>
      <c r="BJ42" s="54"/>
      <c r="BK42" s="54"/>
      <c r="BL42" s="54"/>
      <c r="BM42" s="54"/>
      <c r="BN42" s="54"/>
      <c r="BO42" s="54"/>
      <c r="BP42" s="54"/>
      <c r="BQ42" s="54"/>
      <c r="BR42" s="56"/>
      <c r="BS42" s="102"/>
      <c r="BT42" s="79"/>
      <c r="BU42" s="2"/>
      <c r="BV42" s="21"/>
    </row>
    <row r="43" spans="1:76">
      <c r="A43" s="2"/>
      <c r="B43" s="106"/>
      <c r="C43" s="109"/>
      <c r="D43" s="45">
        <f>IF(BV41&gt;0,DATEDIF(BV41,$BV$1,"YM"),"")</f>
        <v>11</v>
      </c>
      <c r="E43" s="1" t="s">
        <v>23</v>
      </c>
      <c r="F43" s="112"/>
      <c r="G43" s="112"/>
      <c r="H43" s="115"/>
      <c r="I43" s="20" t="s">
        <v>24</v>
      </c>
      <c r="J43" s="93"/>
      <c r="K43" s="94"/>
      <c r="L43" s="94"/>
      <c r="M43" s="94"/>
      <c r="N43" s="95"/>
      <c r="O43" s="93"/>
      <c r="P43" s="94"/>
      <c r="Q43" s="94"/>
      <c r="R43" s="94"/>
      <c r="S43" s="95"/>
      <c r="T43" s="87"/>
      <c r="U43" s="88"/>
      <c r="V43" s="88"/>
      <c r="W43" s="88"/>
      <c r="X43" s="89"/>
      <c r="Y43" s="87"/>
      <c r="Z43" s="88"/>
      <c r="AA43" s="88"/>
      <c r="AB43" s="88"/>
      <c r="AC43" s="89"/>
      <c r="AD43" s="87"/>
      <c r="AE43" s="88"/>
      <c r="AF43" s="88"/>
      <c r="AG43" s="88"/>
      <c r="AH43" s="89"/>
      <c r="AI43" s="87"/>
      <c r="AJ43" s="88"/>
      <c r="AK43" s="88"/>
      <c r="AL43" s="88"/>
      <c r="AM43" s="89"/>
      <c r="AN43" s="87"/>
      <c r="AO43" s="88"/>
      <c r="AP43" s="88"/>
      <c r="AQ43" s="88"/>
      <c r="AR43" s="89"/>
      <c r="AS43" s="87"/>
      <c r="AT43" s="88"/>
      <c r="AU43" s="88"/>
      <c r="AV43" s="88"/>
      <c r="AW43" s="89"/>
      <c r="AX43" s="87"/>
      <c r="AY43" s="88"/>
      <c r="AZ43" s="88"/>
      <c r="BA43" s="88"/>
      <c r="BB43" s="89"/>
      <c r="BC43" s="87"/>
      <c r="BD43" s="88"/>
      <c r="BE43" s="88"/>
      <c r="BF43" s="88"/>
      <c r="BG43" s="89"/>
      <c r="BH43" s="87"/>
      <c r="BI43" s="88"/>
      <c r="BJ43" s="88"/>
      <c r="BK43" s="88"/>
      <c r="BL43" s="89"/>
      <c r="BM43" s="87"/>
      <c r="BN43" s="88"/>
      <c r="BO43" s="88"/>
      <c r="BP43" s="88"/>
      <c r="BQ43" s="89"/>
      <c r="BR43" s="61" t="str">
        <f>IF(SUM(J43:BQ43)&gt;0,SUM(J43:BQ43),"")</f>
        <v/>
      </c>
      <c r="BS43" s="103"/>
      <c r="BT43" s="80"/>
      <c r="BU43" s="2"/>
      <c r="BV43" s="57" t="str">
        <f>IF(ISBLANK(BV41),"",DATEDIF(BV41,$BV$1,"Y")&amp;"年"&amp;DATEDIF(BV41,$BV$1,"YM")&amp;"ヶ月")</f>
        <v>30年11ヶ月</v>
      </c>
      <c r="BW43" t="str">
        <f>IF(BR41="",BR43,BR41+BR43)</f>
        <v/>
      </c>
      <c r="BX43" t="e">
        <f>H41-BW43</f>
        <v>#VALUE!</v>
      </c>
    </row>
    <row r="44" spans="1:76">
      <c r="A44" s="2"/>
      <c r="B44" s="104" t="s">
        <v>47</v>
      </c>
      <c r="C44" s="107" t="s">
        <v>27</v>
      </c>
      <c r="D44" s="44">
        <f>IF(BV44&gt;0,DATEDIF(BV44,$BV$1,"Y"),"")</f>
        <v>14</v>
      </c>
      <c r="E44" s="18" t="s">
        <v>3</v>
      </c>
      <c r="F44" s="110">
        <v>20</v>
      </c>
      <c r="G44" s="110">
        <v>20</v>
      </c>
      <c r="H44" s="113">
        <f>SUM(F44:G46)</f>
        <v>40</v>
      </c>
      <c r="I44" s="19" t="s">
        <v>22</v>
      </c>
      <c r="J44" s="96"/>
      <c r="K44" s="91"/>
      <c r="L44" s="91"/>
      <c r="M44" s="91"/>
      <c r="N44" s="92"/>
      <c r="O44" s="90"/>
      <c r="P44" s="91"/>
      <c r="Q44" s="91"/>
      <c r="R44" s="91"/>
      <c r="S44" s="92"/>
      <c r="T44" s="84"/>
      <c r="U44" s="85"/>
      <c r="V44" s="85"/>
      <c r="W44" s="85"/>
      <c r="X44" s="86"/>
      <c r="Y44" s="84"/>
      <c r="Z44" s="85"/>
      <c r="AA44" s="85"/>
      <c r="AB44" s="85"/>
      <c r="AC44" s="86"/>
      <c r="AD44" s="90"/>
      <c r="AE44" s="91"/>
      <c r="AF44" s="91"/>
      <c r="AG44" s="91"/>
      <c r="AH44" s="92"/>
      <c r="AI44" s="90"/>
      <c r="AJ44" s="91"/>
      <c r="AK44" s="91"/>
      <c r="AL44" s="91"/>
      <c r="AM44" s="92"/>
      <c r="AN44" s="84"/>
      <c r="AO44" s="85"/>
      <c r="AP44" s="85"/>
      <c r="AQ44" s="85"/>
      <c r="AR44" s="86"/>
      <c r="AS44" s="84"/>
      <c r="AT44" s="85"/>
      <c r="AU44" s="85"/>
      <c r="AV44" s="85"/>
      <c r="AW44" s="86"/>
      <c r="AX44" s="84"/>
      <c r="AY44" s="85"/>
      <c r="AZ44" s="85"/>
      <c r="BA44" s="85"/>
      <c r="BB44" s="86"/>
      <c r="BC44" s="84"/>
      <c r="BD44" s="85"/>
      <c r="BE44" s="85"/>
      <c r="BF44" s="85"/>
      <c r="BG44" s="86"/>
      <c r="BH44" s="84"/>
      <c r="BI44" s="85"/>
      <c r="BJ44" s="85"/>
      <c r="BK44" s="85"/>
      <c r="BL44" s="86"/>
      <c r="BM44" s="84"/>
      <c r="BN44" s="85"/>
      <c r="BO44" s="85"/>
      <c r="BP44" s="85"/>
      <c r="BQ44" s="86"/>
      <c r="BR44" s="46" t="str">
        <f>IF(SUM(J44:BQ44)&gt;0,SUM(J44:BQ44),"")</f>
        <v/>
      </c>
      <c r="BS44" s="101">
        <f>H44-SUM(J46:BQ46)</f>
        <v>40</v>
      </c>
      <c r="BT44" s="78"/>
      <c r="BU44" s="2"/>
      <c r="BV44" s="62">
        <v>39173</v>
      </c>
    </row>
    <row r="45" spans="1:76">
      <c r="A45" s="2"/>
      <c r="B45" s="105"/>
      <c r="C45" s="108"/>
      <c r="D45" s="55"/>
      <c r="E45" s="27"/>
      <c r="F45" s="111"/>
      <c r="G45" s="111"/>
      <c r="H45" s="114"/>
      <c r="I45" s="28"/>
      <c r="J45" s="53"/>
      <c r="K45" s="53"/>
      <c r="L45" s="53"/>
      <c r="M45" s="53"/>
      <c r="N45" s="53"/>
      <c r="O45" s="53"/>
      <c r="P45" s="53"/>
      <c r="Q45" s="53"/>
      <c r="R45" s="53"/>
      <c r="S45" s="53"/>
      <c r="T45" s="54"/>
      <c r="U45" s="54"/>
      <c r="V45" s="54"/>
      <c r="W45" s="54"/>
      <c r="X45" s="54"/>
      <c r="Y45" s="54"/>
      <c r="Z45" s="54"/>
      <c r="AA45" s="54"/>
      <c r="AB45" s="54"/>
      <c r="AC45" s="54"/>
      <c r="AD45" s="54"/>
      <c r="AE45" s="54"/>
      <c r="AF45" s="54"/>
      <c r="AG45" s="54"/>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54"/>
      <c r="BH45" s="54"/>
      <c r="BI45" s="54"/>
      <c r="BJ45" s="54"/>
      <c r="BK45" s="54"/>
      <c r="BL45" s="54"/>
      <c r="BM45" s="54"/>
      <c r="BN45" s="54"/>
      <c r="BO45" s="54"/>
      <c r="BP45" s="54"/>
      <c r="BQ45" s="54"/>
      <c r="BR45" s="56"/>
      <c r="BS45" s="102"/>
      <c r="BT45" s="79"/>
      <c r="BU45" s="2"/>
      <c r="BV45" s="21"/>
    </row>
    <row r="46" spans="1:76">
      <c r="A46" s="2"/>
      <c r="B46" s="106"/>
      <c r="C46" s="109"/>
      <c r="D46" s="45">
        <f>IF(BV44&gt;0,DATEDIF(BV44,$BV$1,"YM"),"")</f>
        <v>0</v>
      </c>
      <c r="E46" s="1" t="s">
        <v>23</v>
      </c>
      <c r="F46" s="112"/>
      <c r="G46" s="112"/>
      <c r="H46" s="115"/>
      <c r="I46" s="20" t="s">
        <v>24</v>
      </c>
      <c r="J46" s="97"/>
      <c r="K46" s="94"/>
      <c r="L46" s="94"/>
      <c r="M46" s="94"/>
      <c r="N46" s="95"/>
      <c r="O46" s="93"/>
      <c r="P46" s="94"/>
      <c r="Q46" s="94"/>
      <c r="R46" s="94"/>
      <c r="S46" s="95"/>
      <c r="T46" s="87"/>
      <c r="U46" s="88"/>
      <c r="V46" s="88"/>
      <c r="W46" s="88"/>
      <c r="X46" s="89"/>
      <c r="Y46" s="87"/>
      <c r="Z46" s="88"/>
      <c r="AA46" s="88"/>
      <c r="AB46" s="88"/>
      <c r="AC46" s="89"/>
      <c r="AD46" s="73"/>
      <c r="AE46" s="74"/>
      <c r="AF46" s="74"/>
      <c r="AG46" s="74"/>
      <c r="AH46" s="75"/>
      <c r="AI46" s="87"/>
      <c r="AJ46" s="88"/>
      <c r="AK46" s="88"/>
      <c r="AL46" s="88"/>
      <c r="AM46" s="89"/>
      <c r="AN46" s="87"/>
      <c r="AO46" s="88"/>
      <c r="AP46" s="88"/>
      <c r="AQ46" s="88"/>
      <c r="AR46" s="89"/>
      <c r="AS46" s="87"/>
      <c r="AT46" s="88"/>
      <c r="AU46" s="88"/>
      <c r="AV46" s="88"/>
      <c r="AW46" s="89"/>
      <c r="AX46" s="73"/>
      <c r="AY46" s="74"/>
      <c r="AZ46" s="74"/>
      <c r="BA46" s="74"/>
      <c r="BB46" s="75"/>
      <c r="BC46" s="73"/>
      <c r="BD46" s="74"/>
      <c r="BE46" s="74"/>
      <c r="BF46" s="74"/>
      <c r="BG46" s="75"/>
      <c r="BH46" s="87"/>
      <c r="BI46" s="88"/>
      <c r="BJ46" s="88"/>
      <c r="BK46" s="88"/>
      <c r="BL46" s="89"/>
      <c r="BM46" s="87"/>
      <c r="BN46" s="88"/>
      <c r="BO46" s="88"/>
      <c r="BP46" s="88"/>
      <c r="BQ46" s="139"/>
      <c r="BR46" s="47" t="str">
        <f>IF(SUM(J46:BQ46)&gt;0,SUM(J46:BQ46),"")</f>
        <v/>
      </c>
      <c r="BS46" s="103"/>
      <c r="BT46" s="80"/>
      <c r="BU46" s="2"/>
      <c r="BV46" s="57" t="str">
        <f>IF(ISBLANK(BV44),"",DATEDIF(BV44,$BV$1,"Y")&amp;"年"&amp;DATEDIF(BV44,$BV$1,"YM")&amp;"ヶ月")</f>
        <v>14年0ヶ月</v>
      </c>
      <c r="BW46" t="str">
        <f>IF(BR44="",BR46,BR44+BR46)</f>
        <v/>
      </c>
      <c r="BX46" t="e">
        <f>H44-BW46</f>
        <v>#VALUE!</v>
      </c>
    </row>
    <row r="47" spans="1:76">
      <c r="A47" s="2"/>
      <c r="B47" s="104" t="s">
        <v>48</v>
      </c>
      <c r="C47" s="107" t="s">
        <v>49</v>
      </c>
      <c r="D47" s="44">
        <f>IF(BV47&gt;0,DATEDIF(BV47,$BV$1,"Y"),"")</f>
        <v>3</v>
      </c>
      <c r="E47" s="18" t="s">
        <v>3</v>
      </c>
      <c r="F47" s="128">
        <v>0.5</v>
      </c>
      <c r="G47" s="110">
        <v>13</v>
      </c>
      <c r="H47" s="113">
        <f>SUM(F47:G49)</f>
        <v>13.5</v>
      </c>
      <c r="I47" s="19" t="s">
        <v>22</v>
      </c>
      <c r="J47" s="82"/>
      <c r="K47" s="68"/>
      <c r="L47" s="68">
        <v>1</v>
      </c>
      <c r="M47" s="68"/>
      <c r="N47" s="69"/>
      <c r="O47" s="90"/>
      <c r="P47" s="91"/>
      <c r="Q47" s="91"/>
      <c r="R47" s="91"/>
      <c r="S47" s="92"/>
      <c r="T47" s="84"/>
      <c r="U47" s="85"/>
      <c r="V47" s="85"/>
      <c r="W47" s="85"/>
      <c r="X47" s="86"/>
      <c r="Y47" s="84"/>
      <c r="Z47" s="85"/>
      <c r="AA47" s="85"/>
      <c r="AB47" s="85"/>
      <c r="AC47" s="86"/>
      <c r="AD47" s="90"/>
      <c r="AE47" s="91"/>
      <c r="AF47" s="91"/>
      <c r="AG47" s="91"/>
      <c r="AH47" s="92"/>
      <c r="AI47" s="90"/>
      <c r="AJ47" s="91"/>
      <c r="AK47" s="91"/>
      <c r="AL47" s="91"/>
      <c r="AM47" s="92"/>
      <c r="AN47" s="84"/>
      <c r="AO47" s="85"/>
      <c r="AP47" s="85"/>
      <c r="AQ47" s="85"/>
      <c r="AR47" s="86"/>
      <c r="AS47" s="84"/>
      <c r="AT47" s="85"/>
      <c r="AU47" s="85"/>
      <c r="AV47" s="85"/>
      <c r="AW47" s="86"/>
      <c r="AX47" s="84"/>
      <c r="AY47" s="85"/>
      <c r="AZ47" s="85"/>
      <c r="BA47" s="85"/>
      <c r="BB47" s="86"/>
      <c r="BC47" s="84"/>
      <c r="BD47" s="85"/>
      <c r="BE47" s="85"/>
      <c r="BF47" s="85"/>
      <c r="BG47" s="86"/>
      <c r="BH47" s="84"/>
      <c r="BI47" s="85"/>
      <c r="BJ47" s="85"/>
      <c r="BK47" s="85"/>
      <c r="BL47" s="86"/>
      <c r="BM47" s="84"/>
      <c r="BN47" s="85"/>
      <c r="BO47" s="85"/>
      <c r="BP47" s="85"/>
      <c r="BQ47" s="86"/>
      <c r="BR47" s="46">
        <f>IF(SUM(J47:BQ47)&gt;0,SUM(J47:BQ47),"")</f>
        <v>1</v>
      </c>
      <c r="BS47" s="101">
        <f>H47-SUM(J49:BQ49)</f>
        <v>13.5</v>
      </c>
      <c r="BT47" s="78"/>
      <c r="BU47" s="2"/>
      <c r="BV47" s="62">
        <v>43191</v>
      </c>
    </row>
    <row r="48" spans="1:76">
      <c r="A48" s="2"/>
      <c r="B48" s="105"/>
      <c r="C48" s="108"/>
      <c r="D48" s="55"/>
      <c r="E48" s="27"/>
      <c r="F48" s="129"/>
      <c r="G48" s="111"/>
      <c r="H48" s="114"/>
      <c r="I48" s="28"/>
      <c r="J48" s="53">
        <v>9</v>
      </c>
      <c r="K48" s="53"/>
      <c r="L48" s="53"/>
      <c r="M48" s="53"/>
      <c r="N48" s="53"/>
      <c r="O48" s="53"/>
      <c r="P48" s="53"/>
      <c r="Q48" s="53"/>
      <c r="R48" s="53"/>
      <c r="S48" s="53"/>
      <c r="T48" s="54"/>
      <c r="U48" s="54"/>
      <c r="V48" s="54"/>
      <c r="W48" s="54"/>
      <c r="X48" s="54"/>
      <c r="Y48" s="54"/>
      <c r="Z48" s="54"/>
      <c r="AA48" s="54"/>
      <c r="AB48" s="54"/>
      <c r="AC48" s="54"/>
      <c r="AD48" s="54"/>
      <c r="AE48" s="54"/>
      <c r="AF48" s="54"/>
      <c r="AG48" s="54"/>
      <c r="AH48" s="54"/>
      <c r="AI48" s="54"/>
      <c r="AJ48" s="54"/>
      <c r="AK48" s="54"/>
      <c r="AL48" s="54"/>
      <c r="AM48" s="54"/>
      <c r="AN48" s="54"/>
      <c r="AO48" s="54"/>
      <c r="AP48" s="54"/>
      <c r="AQ48" s="54"/>
      <c r="AR48" s="54"/>
      <c r="AS48" s="54"/>
      <c r="AT48" s="54"/>
      <c r="AU48" s="54"/>
      <c r="AV48" s="54"/>
      <c r="AW48" s="54"/>
      <c r="AX48" s="54"/>
      <c r="AY48" s="54"/>
      <c r="AZ48" s="54"/>
      <c r="BA48" s="54"/>
      <c r="BB48" s="54"/>
      <c r="BC48" s="54"/>
      <c r="BD48" s="54"/>
      <c r="BE48" s="54"/>
      <c r="BF48" s="54"/>
      <c r="BG48" s="54"/>
      <c r="BH48" s="54"/>
      <c r="BI48" s="54"/>
      <c r="BJ48" s="54"/>
      <c r="BK48" s="54"/>
      <c r="BL48" s="54"/>
      <c r="BM48" s="54"/>
      <c r="BN48" s="54"/>
      <c r="BO48" s="54"/>
      <c r="BP48" s="54"/>
      <c r="BQ48" s="54"/>
      <c r="BR48" s="56"/>
      <c r="BS48" s="102"/>
      <c r="BT48" s="79"/>
      <c r="BU48" s="2"/>
      <c r="BV48" s="21"/>
    </row>
    <row r="49" spans="1:76">
      <c r="A49" s="2"/>
      <c r="B49" s="106"/>
      <c r="C49" s="109"/>
      <c r="D49" s="45">
        <f>IF(BV47&gt;0,DATEDIF(BV47,$BV$1,"YM"),"")</f>
        <v>0</v>
      </c>
      <c r="E49" s="1" t="s">
        <v>23</v>
      </c>
      <c r="F49" s="130"/>
      <c r="G49" s="112"/>
      <c r="H49" s="115"/>
      <c r="I49" s="20" t="s">
        <v>24</v>
      </c>
      <c r="J49" s="93"/>
      <c r="K49" s="94"/>
      <c r="L49" s="94"/>
      <c r="M49" s="94"/>
      <c r="N49" s="95"/>
      <c r="O49" s="93"/>
      <c r="P49" s="94"/>
      <c r="Q49" s="94"/>
      <c r="R49" s="94"/>
      <c r="S49" s="95"/>
      <c r="T49" s="87"/>
      <c r="U49" s="88"/>
      <c r="V49" s="88"/>
      <c r="W49" s="88"/>
      <c r="X49" s="89"/>
      <c r="Y49" s="87"/>
      <c r="Z49" s="88"/>
      <c r="AA49" s="88"/>
      <c r="AB49" s="88"/>
      <c r="AC49" s="89"/>
      <c r="AD49" s="73"/>
      <c r="AE49" s="74"/>
      <c r="AF49" s="74"/>
      <c r="AG49" s="74"/>
      <c r="AH49" s="75"/>
      <c r="AI49" s="87"/>
      <c r="AJ49" s="88"/>
      <c r="AK49" s="88"/>
      <c r="AL49" s="88"/>
      <c r="AM49" s="89"/>
      <c r="AN49" s="87"/>
      <c r="AO49" s="88"/>
      <c r="AP49" s="88"/>
      <c r="AQ49" s="88"/>
      <c r="AR49" s="89"/>
      <c r="AS49" s="87"/>
      <c r="AT49" s="88"/>
      <c r="AU49" s="88"/>
      <c r="AV49" s="88"/>
      <c r="AW49" s="89"/>
      <c r="AX49" s="87"/>
      <c r="AY49" s="88"/>
      <c r="AZ49" s="88"/>
      <c r="BA49" s="88"/>
      <c r="BB49" s="89"/>
      <c r="BC49" s="87"/>
      <c r="BD49" s="88"/>
      <c r="BE49" s="88"/>
      <c r="BF49" s="88"/>
      <c r="BG49" s="89"/>
      <c r="BH49" s="87"/>
      <c r="BI49" s="88"/>
      <c r="BJ49" s="88"/>
      <c r="BK49" s="88"/>
      <c r="BL49" s="89"/>
      <c r="BM49" s="87"/>
      <c r="BN49" s="88"/>
      <c r="BO49" s="88"/>
      <c r="BP49" s="88"/>
      <c r="BQ49" s="89"/>
      <c r="BR49" s="47" t="str">
        <f>IF(SUM(J49:BQ49)&gt;0,SUM(J49:BQ49),"")</f>
        <v/>
      </c>
      <c r="BS49" s="103"/>
      <c r="BT49" s="80"/>
      <c r="BU49" s="2"/>
      <c r="BV49" s="57" t="str">
        <f>IF(ISBLANK(BV47),"",DATEDIF(BV47,$BV$1,"Y")&amp;"年"&amp;DATEDIF(BV47,$BV$1,"YM")&amp;"ヶ月")</f>
        <v>3年0ヶ月</v>
      </c>
      <c r="BW49" t="e">
        <f>IF(BR47="",BR49,BR47+BR49)</f>
        <v>#VALUE!</v>
      </c>
      <c r="BX49" t="e">
        <f>H47-BW49</f>
        <v>#VALUE!</v>
      </c>
    </row>
    <row r="50" spans="1:76">
      <c r="A50" s="2"/>
      <c r="B50" s="104" t="s">
        <v>50</v>
      </c>
      <c r="C50" s="107" t="s">
        <v>49</v>
      </c>
      <c r="D50" s="44">
        <f>IF(BV50&gt;0,DATEDIF(BV50,$BV$1,"Y"),"")</f>
        <v>1</v>
      </c>
      <c r="E50" s="18" t="s">
        <v>3</v>
      </c>
      <c r="F50" s="110">
        <v>8.5</v>
      </c>
      <c r="G50" s="110">
        <v>12</v>
      </c>
      <c r="H50" s="113">
        <f>SUM(F50:G52)</f>
        <v>20.5</v>
      </c>
      <c r="I50" s="19" t="s">
        <v>22</v>
      </c>
      <c r="J50" s="96"/>
      <c r="K50" s="91"/>
      <c r="L50" s="91"/>
      <c r="M50" s="91"/>
      <c r="N50" s="92"/>
      <c r="O50" s="119">
        <v>27</v>
      </c>
      <c r="P50" s="120"/>
      <c r="Q50" s="120"/>
      <c r="R50" s="120"/>
      <c r="S50" s="121"/>
      <c r="T50" s="84">
        <v>28</v>
      </c>
      <c r="U50" s="85"/>
      <c r="V50" s="85"/>
      <c r="W50" s="85"/>
      <c r="X50" s="86"/>
      <c r="Y50" s="84"/>
      <c r="Z50" s="85"/>
      <c r="AA50" s="85"/>
      <c r="AB50" s="85"/>
      <c r="AC50" s="86"/>
      <c r="AD50" s="90"/>
      <c r="AE50" s="91"/>
      <c r="AF50" s="91"/>
      <c r="AG50" s="91"/>
      <c r="AH50" s="92"/>
      <c r="AI50" s="90"/>
      <c r="AJ50" s="91"/>
      <c r="AK50" s="91"/>
      <c r="AL50" s="91"/>
      <c r="AM50" s="92"/>
      <c r="AN50" s="84"/>
      <c r="AO50" s="85"/>
      <c r="AP50" s="85"/>
      <c r="AQ50" s="85"/>
      <c r="AR50" s="86"/>
      <c r="AS50" s="84"/>
      <c r="AT50" s="85"/>
      <c r="AU50" s="85"/>
      <c r="AV50" s="85"/>
      <c r="AW50" s="86"/>
      <c r="AX50" s="84"/>
      <c r="AY50" s="85"/>
      <c r="AZ50" s="85"/>
      <c r="BA50" s="85"/>
      <c r="BB50" s="86"/>
      <c r="BC50" s="84"/>
      <c r="BD50" s="85"/>
      <c r="BE50" s="85"/>
      <c r="BF50" s="85"/>
      <c r="BG50" s="86"/>
      <c r="BH50" s="84"/>
      <c r="BI50" s="85"/>
      <c r="BJ50" s="85"/>
      <c r="BK50" s="85"/>
      <c r="BL50" s="86"/>
      <c r="BM50" s="84"/>
      <c r="BN50" s="85"/>
      <c r="BO50" s="85"/>
      <c r="BP50" s="85"/>
      <c r="BQ50" s="86"/>
      <c r="BR50" s="46">
        <f>IF(SUM(J50:BQ50)&gt;0,SUM(J50:BQ50),"")</f>
        <v>55</v>
      </c>
      <c r="BS50" s="101">
        <f>H50-SUM(J52:BQ52)</f>
        <v>-5.5</v>
      </c>
      <c r="BT50" s="78"/>
      <c r="BU50" s="2"/>
      <c r="BV50" s="62">
        <v>43800</v>
      </c>
    </row>
    <row r="51" spans="1:76">
      <c r="A51" s="2"/>
      <c r="B51" s="105"/>
      <c r="C51" s="108"/>
      <c r="D51" s="55"/>
      <c r="E51" s="27"/>
      <c r="F51" s="111"/>
      <c r="G51" s="111"/>
      <c r="H51" s="114"/>
      <c r="I51" s="28"/>
      <c r="J51" s="53"/>
      <c r="K51" s="53"/>
      <c r="L51" s="53"/>
      <c r="M51" s="53"/>
      <c r="N51" s="53"/>
      <c r="O51" s="53"/>
      <c r="P51" s="53"/>
      <c r="Q51" s="53"/>
      <c r="R51" s="53"/>
      <c r="S51" s="53"/>
      <c r="T51" s="54"/>
      <c r="U51" s="54"/>
      <c r="V51" s="54"/>
      <c r="W51" s="54"/>
      <c r="X51" s="54"/>
      <c r="Y51" s="54"/>
      <c r="Z51" s="54"/>
      <c r="AA51" s="54"/>
      <c r="AB51" s="54"/>
      <c r="AC51" s="54"/>
      <c r="AD51" s="54"/>
      <c r="AE51" s="54"/>
      <c r="AF51" s="54"/>
      <c r="AG51" s="54"/>
      <c r="AH51" s="54"/>
      <c r="AI51" s="54"/>
      <c r="AJ51" s="54"/>
      <c r="AK51" s="54"/>
      <c r="AL51" s="54"/>
      <c r="AM51" s="54"/>
      <c r="AN51" s="54"/>
      <c r="AO51" s="54"/>
      <c r="AP51" s="54"/>
      <c r="AQ51" s="54"/>
      <c r="AR51" s="54"/>
      <c r="AS51" s="54"/>
      <c r="AT51" s="54"/>
      <c r="AU51" s="54"/>
      <c r="AV51" s="54"/>
      <c r="AW51" s="54"/>
      <c r="AX51" s="54"/>
      <c r="AY51" s="54"/>
      <c r="AZ51" s="54"/>
      <c r="BA51" s="54"/>
      <c r="BB51" s="54"/>
      <c r="BC51" s="54"/>
      <c r="BD51" s="54"/>
      <c r="BE51" s="54"/>
      <c r="BF51" s="54"/>
      <c r="BG51" s="54"/>
      <c r="BH51" s="54"/>
      <c r="BI51" s="54"/>
      <c r="BJ51" s="54"/>
      <c r="BK51" s="54"/>
      <c r="BL51" s="54"/>
      <c r="BM51" s="54"/>
      <c r="BN51" s="54"/>
      <c r="BO51" s="54"/>
      <c r="BP51" s="54"/>
      <c r="BQ51" s="54"/>
      <c r="BR51" s="56"/>
      <c r="BS51" s="102"/>
      <c r="BT51" s="79"/>
      <c r="BU51" s="2"/>
      <c r="BV51" s="21"/>
    </row>
    <row r="52" spans="1:76">
      <c r="A52" s="2"/>
      <c r="B52" s="106"/>
      <c r="C52" s="109"/>
      <c r="D52" s="45">
        <f>IF(BV50&gt;0,DATEDIF(BV50,$BV$1,"YM"),"")</f>
        <v>4</v>
      </c>
      <c r="E52" s="1" t="s">
        <v>23</v>
      </c>
      <c r="F52" s="112"/>
      <c r="G52" s="112"/>
      <c r="H52" s="115"/>
      <c r="I52" s="20" t="s">
        <v>24</v>
      </c>
      <c r="J52" s="147">
        <v>26</v>
      </c>
      <c r="K52" s="148"/>
      <c r="L52" s="148"/>
      <c r="M52" s="148"/>
      <c r="N52" s="149"/>
      <c r="O52" s="93"/>
      <c r="P52" s="94"/>
      <c r="Q52" s="94"/>
      <c r="R52" s="94"/>
      <c r="S52" s="95"/>
      <c r="T52" s="87"/>
      <c r="U52" s="88"/>
      <c r="V52" s="88"/>
      <c r="W52" s="88"/>
      <c r="X52" s="89"/>
      <c r="Y52" s="87"/>
      <c r="Z52" s="88"/>
      <c r="AA52" s="88"/>
      <c r="AB52" s="88"/>
      <c r="AC52" s="89"/>
      <c r="AD52" s="73"/>
      <c r="AE52" s="74"/>
      <c r="AF52" s="74"/>
      <c r="AG52" s="74"/>
      <c r="AH52" s="75"/>
      <c r="AI52" s="87"/>
      <c r="AJ52" s="88"/>
      <c r="AK52" s="88"/>
      <c r="AL52" s="88"/>
      <c r="AM52" s="89"/>
      <c r="AN52" s="87"/>
      <c r="AO52" s="88"/>
      <c r="AP52" s="88"/>
      <c r="AQ52" s="88"/>
      <c r="AR52" s="89"/>
      <c r="AS52" s="87"/>
      <c r="AT52" s="88"/>
      <c r="AU52" s="88"/>
      <c r="AV52" s="88"/>
      <c r="AW52" s="89"/>
      <c r="AX52" s="87"/>
      <c r="AY52" s="88"/>
      <c r="AZ52" s="88"/>
      <c r="BA52" s="88"/>
      <c r="BB52" s="89"/>
      <c r="BC52" s="87"/>
      <c r="BD52" s="88"/>
      <c r="BE52" s="88"/>
      <c r="BF52" s="88"/>
      <c r="BG52" s="89"/>
      <c r="BH52" s="87"/>
      <c r="BI52" s="88"/>
      <c r="BJ52" s="88"/>
      <c r="BK52" s="88"/>
      <c r="BL52" s="89"/>
      <c r="BM52" s="87"/>
      <c r="BN52" s="88"/>
      <c r="BO52" s="88"/>
      <c r="BP52" s="88"/>
      <c r="BQ52" s="89"/>
      <c r="BR52" s="47">
        <f>IF(SUM(J52:BQ52)&gt;0,SUM(J52:BQ52),"")</f>
        <v>26</v>
      </c>
      <c r="BS52" s="103"/>
      <c r="BT52" s="80"/>
      <c r="BU52" s="2"/>
      <c r="BV52" s="57" t="str">
        <f>IF(ISBLANK(BV50),"",DATEDIF(BV50,$BV$1,"Y")&amp;"年"&amp;DATEDIF(BV50,$BV$1,"YM")&amp;"ヶ月")</f>
        <v>1年4ヶ月</v>
      </c>
      <c r="BW52" s="30">
        <f>IF(BR50="",BR52,BR50+BR52)</f>
        <v>81</v>
      </c>
      <c r="BX52">
        <f>H50-BW52</f>
        <v>-60.5</v>
      </c>
    </row>
    <row r="53" spans="1:76">
      <c r="A53" s="2"/>
      <c r="B53" s="122" t="s">
        <v>51</v>
      </c>
      <c r="C53" s="125" t="s">
        <v>49</v>
      </c>
      <c r="D53" s="44">
        <f>IF(BV53&gt;0,DATEDIF(BV53,$BV$1,"Y"),"")</f>
        <v>0</v>
      </c>
      <c r="E53" s="18" t="s">
        <v>3</v>
      </c>
      <c r="F53" s="110">
        <v>7</v>
      </c>
      <c r="G53" s="110">
        <v>11</v>
      </c>
      <c r="H53" s="113">
        <f>SUM(F53:G55)</f>
        <v>18</v>
      </c>
      <c r="I53" s="19" t="s">
        <v>22</v>
      </c>
      <c r="J53" s="90"/>
      <c r="K53" s="91"/>
      <c r="L53" s="91"/>
      <c r="M53" s="91"/>
      <c r="N53" s="92"/>
      <c r="O53" s="90">
        <v>1</v>
      </c>
      <c r="P53" s="91"/>
      <c r="Q53" s="91"/>
      <c r="R53" s="91"/>
      <c r="S53" s="92"/>
      <c r="T53" s="84"/>
      <c r="U53" s="85"/>
      <c r="V53" s="85"/>
      <c r="W53" s="85"/>
      <c r="X53" s="86"/>
      <c r="Y53" s="84">
        <v>1</v>
      </c>
      <c r="Z53" s="85"/>
      <c r="AA53" s="85"/>
      <c r="AB53" s="85"/>
      <c r="AC53" s="86"/>
      <c r="AD53" s="84"/>
      <c r="AE53" s="85"/>
      <c r="AF53" s="85"/>
      <c r="AG53" s="85"/>
      <c r="AH53" s="86"/>
      <c r="AI53" s="84"/>
      <c r="AJ53" s="85"/>
      <c r="AK53" s="85"/>
      <c r="AL53" s="85"/>
      <c r="AM53" s="86"/>
      <c r="AN53" s="84"/>
      <c r="AO53" s="85"/>
      <c r="AP53" s="85"/>
      <c r="AQ53" s="85"/>
      <c r="AR53" s="86"/>
      <c r="AS53" s="84"/>
      <c r="AT53" s="85"/>
      <c r="AU53" s="85"/>
      <c r="AV53" s="85"/>
      <c r="AW53" s="86"/>
      <c r="AX53" s="84"/>
      <c r="AY53" s="85"/>
      <c r="AZ53" s="85"/>
      <c r="BA53" s="85"/>
      <c r="BB53" s="86"/>
      <c r="BC53" s="84"/>
      <c r="BD53" s="85"/>
      <c r="BE53" s="85"/>
      <c r="BF53" s="85"/>
      <c r="BG53" s="86"/>
      <c r="BH53" s="84"/>
      <c r="BI53" s="85"/>
      <c r="BJ53" s="85"/>
      <c r="BK53" s="85"/>
      <c r="BL53" s="86"/>
      <c r="BM53" s="84"/>
      <c r="BN53" s="85"/>
      <c r="BO53" s="85"/>
      <c r="BP53" s="85"/>
      <c r="BQ53" s="86"/>
      <c r="BR53" s="46">
        <f>IF(SUM(J53:BQ53)&gt;0,SUM(J53:BQ53),"")</f>
        <v>2</v>
      </c>
      <c r="BS53" s="101">
        <f>H53-SUM(J55:BQ55)</f>
        <v>18</v>
      </c>
      <c r="BT53" s="98"/>
      <c r="BU53" s="2"/>
      <c r="BV53" s="62">
        <v>44044</v>
      </c>
    </row>
    <row r="54" spans="1:76">
      <c r="A54" s="2"/>
      <c r="B54" s="123"/>
      <c r="C54" s="126"/>
      <c r="D54" s="55"/>
      <c r="E54" s="27"/>
      <c r="F54" s="111"/>
      <c r="G54" s="111"/>
      <c r="H54" s="114"/>
      <c r="I54" s="28"/>
      <c r="J54" s="51"/>
      <c r="K54" s="51"/>
      <c r="L54" s="51"/>
      <c r="M54" s="51"/>
      <c r="N54" s="51"/>
      <c r="O54" s="51">
        <v>17</v>
      </c>
      <c r="P54" s="51"/>
      <c r="Q54" s="51"/>
      <c r="R54" s="51"/>
      <c r="S54" s="51"/>
      <c r="T54" s="52"/>
      <c r="U54" s="52"/>
      <c r="V54" s="52"/>
      <c r="W54" s="52"/>
      <c r="X54" s="52"/>
      <c r="Y54" s="52">
        <v>16</v>
      </c>
      <c r="Z54" s="52"/>
      <c r="AA54" s="52"/>
      <c r="AB54" s="52"/>
      <c r="AC54" s="52"/>
      <c r="AD54" s="52"/>
      <c r="AE54" s="52"/>
      <c r="AF54" s="52"/>
      <c r="AG54" s="52"/>
      <c r="AH54" s="52"/>
      <c r="AI54" s="52"/>
      <c r="AJ54" s="52"/>
      <c r="AK54" s="52"/>
      <c r="AL54" s="52"/>
      <c r="AM54" s="52"/>
      <c r="AN54" s="52"/>
      <c r="AO54" s="52"/>
      <c r="AP54" s="52"/>
      <c r="AQ54" s="52"/>
      <c r="AR54" s="52"/>
      <c r="AS54" s="52"/>
      <c r="AT54" s="52"/>
      <c r="AU54" s="52"/>
      <c r="AV54" s="52"/>
      <c r="AW54" s="52"/>
      <c r="AX54" s="52"/>
      <c r="AY54" s="52"/>
      <c r="AZ54" s="52"/>
      <c r="BA54" s="52"/>
      <c r="BB54" s="52"/>
      <c r="BC54" s="52"/>
      <c r="BD54" s="52"/>
      <c r="BE54" s="52"/>
      <c r="BF54" s="52"/>
      <c r="BG54" s="52"/>
      <c r="BH54" s="52"/>
      <c r="BI54" s="52"/>
      <c r="BJ54" s="52"/>
      <c r="BK54" s="52"/>
      <c r="BL54" s="52"/>
      <c r="BM54" s="52"/>
      <c r="BN54" s="52"/>
      <c r="BO54" s="52"/>
      <c r="BP54" s="52"/>
      <c r="BQ54" s="52"/>
      <c r="BR54" s="56"/>
      <c r="BS54" s="102"/>
      <c r="BT54" s="99"/>
      <c r="BU54" s="2"/>
      <c r="BV54" s="21"/>
    </row>
    <row r="55" spans="1:76">
      <c r="A55" s="2"/>
      <c r="B55" s="124"/>
      <c r="C55" s="127"/>
      <c r="D55" s="45">
        <f>IF(BV53&gt;0,DATEDIF(BV53,$BV$1,"YM"),"")</f>
        <v>8</v>
      </c>
      <c r="E55" s="1" t="s">
        <v>23</v>
      </c>
      <c r="F55" s="112"/>
      <c r="G55" s="112"/>
      <c r="H55" s="115"/>
      <c r="I55" s="20" t="s">
        <v>24</v>
      </c>
      <c r="J55" s="93"/>
      <c r="K55" s="94"/>
      <c r="L55" s="94"/>
      <c r="M55" s="94"/>
      <c r="N55" s="95"/>
      <c r="O55" s="93"/>
      <c r="P55" s="94"/>
      <c r="Q55" s="94"/>
      <c r="R55" s="94"/>
      <c r="S55" s="95"/>
      <c r="T55" s="87"/>
      <c r="U55" s="88"/>
      <c r="V55" s="88"/>
      <c r="W55" s="88"/>
      <c r="X55" s="89"/>
      <c r="Y55" s="87"/>
      <c r="Z55" s="88"/>
      <c r="AA55" s="88"/>
      <c r="AB55" s="88"/>
      <c r="AC55" s="89"/>
      <c r="AD55" s="87"/>
      <c r="AE55" s="88"/>
      <c r="AF55" s="88"/>
      <c r="AG55" s="88"/>
      <c r="AH55" s="89"/>
      <c r="AI55" s="87"/>
      <c r="AJ55" s="88"/>
      <c r="AK55" s="88"/>
      <c r="AL55" s="88"/>
      <c r="AM55" s="89"/>
      <c r="AN55" s="87"/>
      <c r="AO55" s="88"/>
      <c r="AP55" s="88"/>
      <c r="AQ55" s="88"/>
      <c r="AR55" s="89"/>
      <c r="AS55" s="87"/>
      <c r="AT55" s="88"/>
      <c r="AU55" s="88"/>
      <c r="AV55" s="88"/>
      <c r="AW55" s="89"/>
      <c r="AX55" s="87"/>
      <c r="AY55" s="88"/>
      <c r="AZ55" s="88"/>
      <c r="BA55" s="88"/>
      <c r="BB55" s="89"/>
      <c r="BC55" s="87"/>
      <c r="BD55" s="88"/>
      <c r="BE55" s="88"/>
      <c r="BF55" s="88"/>
      <c r="BG55" s="89"/>
      <c r="BH55" s="87"/>
      <c r="BI55" s="88"/>
      <c r="BJ55" s="88"/>
      <c r="BK55" s="88"/>
      <c r="BL55" s="89"/>
      <c r="BM55" s="87"/>
      <c r="BN55" s="88"/>
      <c r="BO55" s="88"/>
      <c r="BP55" s="88"/>
      <c r="BQ55" s="89"/>
      <c r="BR55" s="47" t="str">
        <f>IF(SUM(J55:BQ55)&gt;0,SUM(J55:BQ55),"")</f>
        <v/>
      </c>
      <c r="BS55" s="103"/>
      <c r="BT55" s="100"/>
      <c r="BU55" s="2"/>
      <c r="BV55" s="57" t="str">
        <f>IF(ISBLANK(BV53),"",DATEDIF(BV53,$BV$1,"Y")&amp;"年"&amp;DATEDIF(BV53,$BV$1,"YM")&amp;"ヶ月")</f>
        <v>0年8ヶ月</v>
      </c>
      <c r="BW55" t="e">
        <f>IF(BR53="",BR55,BR53+BR55)</f>
        <v>#VALUE!</v>
      </c>
      <c r="BX55" t="e">
        <f>H53-BW55</f>
        <v>#VALUE!</v>
      </c>
    </row>
    <row r="56" spans="1:76">
      <c r="A56" s="2"/>
      <c r="B56" s="104"/>
      <c r="C56" s="107"/>
      <c r="D56" s="44" t="str">
        <f>IF(BV56&gt;0,DATEDIF(BV56,$BV$1,"Y"),"")</f>
        <v/>
      </c>
      <c r="E56" s="18" t="s">
        <v>3</v>
      </c>
      <c r="F56" s="110"/>
      <c r="G56" s="110"/>
      <c r="H56" s="113">
        <f>SUM(F56:G58)</f>
        <v>0</v>
      </c>
      <c r="I56" s="19" t="s">
        <v>22</v>
      </c>
      <c r="J56" s="82"/>
      <c r="K56" s="68"/>
      <c r="L56" s="68"/>
      <c r="M56" s="68"/>
      <c r="N56" s="69"/>
      <c r="O56" s="90"/>
      <c r="P56" s="91"/>
      <c r="Q56" s="91"/>
      <c r="R56" s="91"/>
      <c r="S56" s="92"/>
      <c r="T56" s="84"/>
      <c r="U56" s="85"/>
      <c r="V56" s="85"/>
      <c r="W56" s="85"/>
      <c r="X56" s="86"/>
      <c r="Y56" s="84"/>
      <c r="Z56" s="85"/>
      <c r="AA56" s="85"/>
      <c r="AB56" s="85"/>
      <c r="AC56" s="86"/>
      <c r="AD56" s="90"/>
      <c r="AE56" s="91"/>
      <c r="AF56" s="91"/>
      <c r="AG56" s="91"/>
      <c r="AH56" s="92"/>
      <c r="AI56" s="90"/>
      <c r="AJ56" s="91"/>
      <c r="AK56" s="91"/>
      <c r="AL56" s="91"/>
      <c r="AM56" s="92"/>
      <c r="AN56" s="84"/>
      <c r="AO56" s="85"/>
      <c r="AP56" s="85"/>
      <c r="AQ56" s="85"/>
      <c r="AR56" s="86"/>
      <c r="AS56" s="84"/>
      <c r="AT56" s="85"/>
      <c r="AU56" s="85"/>
      <c r="AV56" s="85"/>
      <c r="AW56" s="86"/>
      <c r="AX56" s="84"/>
      <c r="AY56" s="85"/>
      <c r="AZ56" s="85"/>
      <c r="BA56" s="85"/>
      <c r="BB56" s="86"/>
      <c r="BC56" s="84"/>
      <c r="BD56" s="85"/>
      <c r="BE56" s="85"/>
      <c r="BF56" s="85"/>
      <c r="BG56" s="86"/>
      <c r="BH56" s="84"/>
      <c r="BI56" s="85"/>
      <c r="BJ56" s="85"/>
      <c r="BK56" s="85"/>
      <c r="BL56" s="86"/>
      <c r="BM56" s="84"/>
      <c r="BN56" s="85"/>
      <c r="BO56" s="85"/>
      <c r="BP56" s="85"/>
      <c r="BQ56" s="86"/>
      <c r="BR56" s="46" t="str">
        <f>IF(SUM(J56:BQ56)&gt;0,SUM(J56:BQ56),"")</f>
        <v/>
      </c>
      <c r="BS56" s="101">
        <f>H56-SUM(J58:BQ58)</f>
        <v>0</v>
      </c>
      <c r="BT56" s="78"/>
      <c r="BU56" s="2"/>
      <c r="BV56" s="62"/>
    </row>
    <row r="57" spans="1:76">
      <c r="A57" s="2"/>
      <c r="B57" s="105"/>
      <c r="C57" s="108"/>
      <c r="D57" s="55"/>
      <c r="E57" s="27"/>
      <c r="F57" s="111"/>
      <c r="G57" s="111"/>
      <c r="H57" s="114"/>
      <c r="I57" s="28"/>
      <c r="J57" s="53"/>
      <c r="K57" s="53"/>
      <c r="L57" s="53"/>
      <c r="M57" s="53"/>
      <c r="N57" s="53"/>
      <c r="O57" s="53"/>
      <c r="P57" s="53"/>
      <c r="Q57" s="53"/>
      <c r="R57" s="53"/>
      <c r="S57" s="53"/>
      <c r="T57" s="54"/>
      <c r="U57" s="54"/>
      <c r="V57" s="54"/>
      <c r="W57" s="54"/>
      <c r="X57" s="54"/>
      <c r="Y57" s="54"/>
      <c r="Z57" s="54"/>
      <c r="AA57" s="54"/>
      <c r="AB57" s="54"/>
      <c r="AC57" s="54"/>
      <c r="AD57" s="54"/>
      <c r="AE57" s="54"/>
      <c r="AF57" s="54"/>
      <c r="AG57" s="54"/>
      <c r="AH57" s="54"/>
      <c r="AI57" s="54"/>
      <c r="AJ57" s="54"/>
      <c r="AK57" s="54"/>
      <c r="AL57" s="54"/>
      <c r="AM57" s="54"/>
      <c r="AN57" s="54"/>
      <c r="AO57" s="54"/>
      <c r="AP57" s="54"/>
      <c r="AQ57" s="54"/>
      <c r="AR57" s="54"/>
      <c r="AS57" s="54"/>
      <c r="AT57" s="54"/>
      <c r="AU57" s="54"/>
      <c r="AV57" s="54"/>
      <c r="AW57" s="54"/>
      <c r="AX57" s="54"/>
      <c r="AY57" s="54"/>
      <c r="AZ57" s="54"/>
      <c r="BA57" s="54"/>
      <c r="BB57" s="54"/>
      <c r="BC57" s="54"/>
      <c r="BD57" s="54"/>
      <c r="BE57" s="54"/>
      <c r="BF57" s="54"/>
      <c r="BG57" s="54"/>
      <c r="BH57" s="54"/>
      <c r="BI57" s="54"/>
      <c r="BJ57" s="54"/>
      <c r="BK57" s="54"/>
      <c r="BL57" s="54"/>
      <c r="BM57" s="54"/>
      <c r="BN57" s="54"/>
      <c r="BO57" s="54"/>
      <c r="BP57" s="54"/>
      <c r="BQ57" s="54"/>
      <c r="BR57" s="56"/>
      <c r="BS57" s="102"/>
      <c r="BT57" s="79"/>
      <c r="BU57" s="2"/>
      <c r="BV57" s="21"/>
    </row>
    <row r="58" spans="1:76">
      <c r="A58" s="2"/>
      <c r="B58" s="106"/>
      <c r="C58" s="109"/>
      <c r="D58" s="45" t="str">
        <f>IF(BV56&gt;0,DATEDIF(BV56,$BV$1,"YM"),"")</f>
        <v/>
      </c>
      <c r="E58" s="1" t="s">
        <v>23</v>
      </c>
      <c r="F58" s="112"/>
      <c r="G58" s="112"/>
      <c r="H58" s="115"/>
      <c r="I58" s="20" t="s">
        <v>24</v>
      </c>
      <c r="J58" s="93"/>
      <c r="K58" s="94"/>
      <c r="L58" s="94"/>
      <c r="M58" s="94"/>
      <c r="N58" s="95"/>
      <c r="O58" s="93"/>
      <c r="P58" s="94"/>
      <c r="Q58" s="94"/>
      <c r="R58" s="94"/>
      <c r="S58" s="95"/>
      <c r="T58" s="87"/>
      <c r="U58" s="88"/>
      <c r="V58" s="88"/>
      <c r="W58" s="88"/>
      <c r="X58" s="89"/>
      <c r="Y58" s="87"/>
      <c r="Z58" s="88"/>
      <c r="AA58" s="88"/>
      <c r="AB58" s="88"/>
      <c r="AC58" s="89"/>
      <c r="AD58" s="73"/>
      <c r="AE58" s="74"/>
      <c r="AF58" s="74"/>
      <c r="AG58" s="74"/>
      <c r="AH58" s="75"/>
      <c r="AI58" s="87"/>
      <c r="AJ58" s="88"/>
      <c r="AK58" s="88"/>
      <c r="AL58" s="88"/>
      <c r="AM58" s="89"/>
      <c r="AN58" s="87"/>
      <c r="AO58" s="88"/>
      <c r="AP58" s="88"/>
      <c r="AQ58" s="88"/>
      <c r="AR58" s="89"/>
      <c r="AS58" s="87"/>
      <c r="AT58" s="88"/>
      <c r="AU58" s="88"/>
      <c r="AV58" s="88"/>
      <c r="AW58" s="89"/>
      <c r="AX58" s="87"/>
      <c r="AY58" s="88"/>
      <c r="AZ58" s="88"/>
      <c r="BA58" s="88"/>
      <c r="BB58" s="89"/>
      <c r="BC58" s="87"/>
      <c r="BD58" s="88"/>
      <c r="BE58" s="88"/>
      <c r="BF58" s="88"/>
      <c r="BG58" s="89"/>
      <c r="BH58" s="87"/>
      <c r="BI58" s="88"/>
      <c r="BJ58" s="88"/>
      <c r="BK58" s="88"/>
      <c r="BL58" s="89"/>
      <c r="BM58" s="87"/>
      <c r="BN58" s="88"/>
      <c r="BO58" s="88"/>
      <c r="BP58" s="88"/>
      <c r="BQ58" s="89"/>
      <c r="BR58" s="61" t="str">
        <f>IF(SUM(J58:BQ58)&gt;0,SUM(J58:BQ58),"")</f>
        <v/>
      </c>
      <c r="BS58" s="103"/>
      <c r="BT58" s="80"/>
      <c r="BU58" s="2"/>
      <c r="BV58" s="57" t="str">
        <f>IF(ISBLANK(BV56),"",DATEDIF(BV56,$BV$1,"Y")&amp;"年"&amp;DATEDIF(BV56,$BV$1,"YM")&amp;"ヶ月")</f>
        <v/>
      </c>
      <c r="BW58" t="str">
        <f>IF(BR56="",BR58,BR56+BR58)</f>
        <v/>
      </c>
      <c r="BX58" t="e">
        <f>H56-BW58</f>
        <v>#VALUE!</v>
      </c>
    </row>
    <row r="59" spans="1:76">
      <c r="A59" s="2"/>
      <c r="B59" s="104"/>
      <c r="C59" s="107"/>
      <c r="D59" s="44" t="str">
        <f>IF(BV59&gt;0,DATEDIF(BV59,$BV$1,"Y"),"")</f>
        <v/>
      </c>
      <c r="E59" s="18" t="s">
        <v>3</v>
      </c>
      <c r="F59" s="110"/>
      <c r="G59" s="110"/>
      <c r="H59" s="113">
        <f>SUM(F59:G61)</f>
        <v>0</v>
      </c>
      <c r="I59" s="19" t="s">
        <v>22</v>
      </c>
      <c r="J59" s="82"/>
      <c r="K59" s="68"/>
      <c r="L59" s="68"/>
      <c r="M59" s="68"/>
      <c r="N59" s="69"/>
      <c r="O59" s="67"/>
      <c r="P59" s="68"/>
      <c r="Q59" s="68"/>
      <c r="R59" s="68"/>
      <c r="S59" s="69"/>
      <c r="T59" s="84"/>
      <c r="U59" s="85"/>
      <c r="V59" s="85"/>
      <c r="W59" s="85"/>
      <c r="X59" s="86"/>
      <c r="Y59" s="84"/>
      <c r="Z59" s="85"/>
      <c r="AA59" s="85"/>
      <c r="AB59" s="85"/>
      <c r="AC59" s="86"/>
      <c r="AD59" s="90"/>
      <c r="AE59" s="91"/>
      <c r="AF59" s="91"/>
      <c r="AG59" s="91"/>
      <c r="AH59" s="92"/>
      <c r="AI59" s="84"/>
      <c r="AJ59" s="85"/>
      <c r="AK59" s="85"/>
      <c r="AL59" s="85"/>
      <c r="AM59" s="86"/>
      <c r="AN59" s="84"/>
      <c r="AO59" s="85"/>
      <c r="AP59" s="85"/>
      <c r="AQ59" s="85"/>
      <c r="AR59" s="86"/>
      <c r="AS59" s="84"/>
      <c r="AT59" s="85"/>
      <c r="AU59" s="85"/>
      <c r="AV59" s="85"/>
      <c r="AW59" s="86"/>
      <c r="AX59" s="84"/>
      <c r="AY59" s="85"/>
      <c r="AZ59" s="85"/>
      <c r="BA59" s="85"/>
      <c r="BB59" s="86"/>
      <c r="BC59" s="84"/>
      <c r="BD59" s="85"/>
      <c r="BE59" s="85"/>
      <c r="BF59" s="85"/>
      <c r="BG59" s="86"/>
      <c r="BH59" s="84"/>
      <c r="BI59" s="85"/>
      <c r="BJ59" s="85"/>
      <c r="BK59" s="85"/>
      <c r="BL59" s="86"/>
      <c r="BM59" s="84"/>
      <c r="BN59" s="85"/>
      <c r="BO59" s="85"/>
      <c r="BP59" s="85"/>
      <c r="BQ59" s="86"/>
      <c r="BR59" s="46" t="str">
        <f>IF(SUM(J59:BQ59)&gt;0,SUM(J59:BQ59),"")</f>
        <v/>
      </c>
      <c r="BS59" s="101">
        <f>H59-SUM(J61:BQ61)</f>
        <v>0</v>
      </c>
      <c r="BT59" s="78"/>
      <c r="BU59" s="2"/>
      <c r="BV59" s="62"/>
    </row>
    <row r="60" spans="1:76">
      <c r="A60" s="2"/>
      <c r="B60" s="105"/>
      <c r="C60" s="108"/>
      <c r="D60" s="55"/>
      <c r="E60" s="27"/>
      <c r="F60" s="111"/>
      <c r="G60" s="111"/>
      <c r="H60" s="114"/>
      <c r="I60" s="28"/>
      <c r="J60" s="53"/>
      <c r="K60" s="53"/>
      <c r="L60" s="53"/>
      <c r="M60" s="53"/>
      <c r="N60" s="53"/>
      <c r="O60" s="53"/>
      <c r="P60" s="53"/>
      <c r="Q60" s="53"/>
      <c r="R60" s="53"/>
      <c r="S60" s="53"/>
      <c r="T60" s="54"/>
      <c r="U60" s="54"/>
      <c r="V60" s="54"/>
      <c r="W60" s="54"/>
      <c r="X60" s="54"/>
      <c r="Y60" s="54"/>
      <c r="Z60" s="54"/>
      <c r="AA60" s="54"/>
      <c r="AB60" s="54"/>
      <c r="AC60" s="54"/>
      <c r="AD60" s="54"/>
      <c r="AE60" s="54"/>
      <c r="AF60" s="54"/>
      <c r="AG60" s="54"/>
      <c r="AH60" s="54"/>
      <c r="AI60" s="54"/>
      <c r="AJ60" s="54"/>
      <c r="AK60" s="54"/>
      <c r="AL60" s="54"/>
      <c r="AM60" s="54"/>
      <c r="AN60" s="54"/>
      <c r="AO60" s="54"/>
      <c r="AP60" s="54"/>
      <c r="AQ60" s="54"/>
      <c r="AR60" s="54"/>
      <c r="AS60" s="54"/>
      <c r="AT60" s="54"/>
      <c r="AU60" s="54"/>
      <c r="AV60" s="54"/>
      <c r="AW60" s="54"/>
      <c r="AX60" s="54"/>
      <c r="AY60" s="54"/>
      <c r="AZ60" s="54"/>
      <c r="BA60" s="54"/>
      <c r="BB60" s="54"/>
      <c r="BC60" s="54"/>
      <c r="BD60" s="54"/>
      <c r="BE60" s="54"/>
      <c r="BF60" s="54"/>
      <c r="BG60" s="54"/>
      <c r="BH60" s="54"/>
      <c r="BI60" s="54"/>
      <c r="BJ60" s="54"/>
      <c r="BK60" s="54"/>
      <c r="BL60" s="54"/>
      <c r="BM60" s="54"/>
      <c r="BN60" s="54"/>
      <c r="BO60" s="54"/>
      <c r="BP60" s="54"/>
      <c r="BQ60" s="54"/>
      <c r="BR60" s="56"/>
      <c r="BS60" s="102"/>
      <c r="BT60" s="79"/>
      <c r="BU60" s="2"/>
      <c r="BV60" s="21"/>
    </row>
    <row r="61" spans="1:76">
      <c r="A61" s="2"/>
      <c r="B61" s="106"/>
      <c r="C61" s="109"/>
      <c r="D61" s="45" t="str">
        <f>IF(BV59&gt;0,DATEDIF(BV59,$BV$1,"YM"),"")</f>
        <v/>
      </c>
      <c r="E61" s="1" t="s">
        <v>23</v>
      </c>
      <c r="F61" s="112"/>
      <c r="G61" s="112"/>
      <c r="H61" s="115"/>
      <c r="I61" s="20" t="s">
        <v>24</v>
      </c>
      <c r="J61" s="93"/>
      <c r="K61" s="94"/>
      <c r="L61" s="94"/>
      <c r="M61" s="94"/>
      <c r="N61" s="95"/>
      <c r="O61" s="93"/>
      <c r="P61" s="94"/>
      <c r="Q61" s="94"/>
      <c r="R61" s="94"/>
      <c r="S61" s="95"/>
      <c r="T61" s="87"/>
      <c r="U61" s="88"/>
      <c r="V61" s="88"/>
      <c r="W61" s="88"/>
      <c r="X61" s="89"/>
      <c r="Y61" s="87"/>
      <c r="Z61" s="88"/>
      <c r="AA61" s="88"/>
      <c r="AB61" s="88"/>
      <c r="AC61" s="89"/>
      <c r="AD61" s="73"/>
      <c r="AE61" s="74"/>
      <c r="AF61" s="74"/>
      <c r="AG61" s="74"/>
      <c r="AH61" s="75"/>
      <c r="AI61" s="87"/>
      <c r="AJ61" s="88"/>
      <c r="AK61" s="88"/>
      <c r="AL61" s="88"/>
      <c r="AM61" s="89"/>
      <c r="AN61" s="87"/>
      <c r="AO61" s="88"/>
      <c r="AP61" s="88"/>
      <c r="AQ61" s="88"/>
      <c r="AR61" s="89"/>
      <c r="AS61" s="87"/>
      <c r="AT61" s="88"/>
      <c r="AU61" s="88"/>
      <c r="AV61" s="88"/>
      <c r="AW61" s="89"/>
      <c r="AX61" s="87"/>
      <c r="AY61" s="88"/>
      <c r="AZ61" s="88"/>
      <c r="BA61" s="88"/>
      <c r="BB61" s="89"/>
      <c r="BC61" s="87"/>
      <c r="BD61" s="88"/>
      <c r="BE61" s="88"/>
      <c r="BF61" s="88"/>
      <c r="BG61" s="89"/>
      <c r="BH61" s="87"/>
      <c r="BI61" s="88"/>
      <c r="BJ61" s="88"/>
      <c r="BK61" s="88"/>
      <c r="BL61" s="89"/>
      <c r="BM61" s="87"/>
      <c r="BN61" s="88"/>
      <c r="BO61" s="88"/>
      <c r="BP61" s="88"/>
      <c r="BQ61" s="89"/>
      <c r="BR61" s="47" t="str">
        <f>IF(SUM(J61:BQ61)&gt;0,SUM(J61:BQ61),"")</f>
        <v/>
      </c>
      <c r="BS61" s="103"/>
      <c r="BT61" s="80"/>
      <c r="BU61" s="2"/>
      <c r="BV61" s="57" t="str">
        <f>IF(ISBLANK(BV59),"",DATEDIF(BV59,$BV$1,"Y")&amp;"年"&amp;DATEDIF(BV59,$BV$1,"YM")&amp;"ヶ月")</f>
        <v/>
      </c>
      <c r="BW61" t="str">
        <f>IF(BR59="",BR61,BR59+BR61)</f>
        <v/>
      </c>
      <c r="BX61" t="e">
        <f>H59-BW61</f>
        <v>#VALUE!</v>
      </c>
    </row>
    <row r="62" spans="1:76">
      <c r="A62" s="2"/>
      <c r="B62" s="107"/>
      <c r="C62" s="107"/>
      <c r="D62" s="44" t="str">
        <f>IF(BV62&gt;0,DATEDIF(BV62,$BV$1,"Y"),"")</f>
        <v/>
      </c>
      <c r="E62" s="18" t="s">
        <v>3</v>
      </c>
      <c r="F62" s="110"/>
      <c r="G62" s="110"/>
      <c r="H62" s="113">
        <f>SUM(F62:G64)</f>
        <v>0</v>
      </c>
      <c r="I62" s="19" t="s">
        <v>22</v>
      </c>
      <c r="J62" s="82"/>
      <c r="K62" s="68"/>
      <c r="L62" s="68"/>
      <c r="M62" s="68"/>
      <c r="N62" s="69"/>
      <c r="O62" s="67"/>
      <c r="P62" s="68"/>
      <c r="Q62" s="68"/>
      <c r="R62" s="68"/>
      <c r="S62" s="69"/>
      <c r="T62" s="70"/>
      <c r="U62" s="71"/>
      <c r="V62" s="71"/>
      <c r="W62" s="71"/>
      <c r="X62" s="72"/>
      <c r="Y62" s="70"/>
      <c r="Z62" s="71"/>
      <c r="AA62" s="71"/>
      <c r="AB62" s="71"/>
      <c r="AC62" s="72"/>
      <c r="AD62" s="84"/>
      <c r="AE62" s="85"/>
      <c r="AF62" s="85"/>
      <c r="AG62" s="85"/>
      <c r="AH62" s="86"/>
      <c r="AI62" s="84"/>
      <c r="AJ62" s="85"/>
      <c r="AK62" s="85"/>
      <c r="AL62" s="85"/>
      <c r="AM62" s="86"/>
      <c r="AN62" s="84"/>
      <c r="AO62" s="85"/>
      <c r="AP62" s="85"/>
      <c r="AQ62" s="85"/>
      <c r="AR62" s="86"/>
      <c r="AS62" s="84"/>
      <c r="AT62" s="85"/>
      <c r="AU62" s="85"/>
      <c r="AV62" s="85"/>
      <c r="AW62" s="86"/>
      <c r="AX62" s="84"/>
      <c r="AY62" s="85"/>
      <c r="AZ62" s="85"/>
      <c r="BA62" s="85"/>
      <c r="BB62" s="86"/>
      <c r="BC62" s="70"/>
      <c r="BD62" s="71"/>
      <c r="BE62" s="71"/>
      <c r="BF62" s="71"/>
      <c r="BG62" s="72"/>
      <c r="BH62" s="84"/>
      <c r="BI62" s="85"/>
      <c r="BJ62" s="85"/>
      <c r="BK62" s="85"/>
      <c r="BL62" s="86"/>
      <c r="BM62" s="84"/>
      <c r="BN62" s="85"/>
      <c r="BO62" s="85"/>
      <c r="BP62" s="85"/>
      <c r="BQ62" s="140"/>
      <c r="BR62" s="46" t="str">
        <f>IF(SUM(J62:BQ62)&gt;0,SUM(J62:BQ62),"")</f>
        <v/>
      </c>
      <c r="BS62" s="101">
        <f>H62-SUM(J64:BQ64)</f>
        <v>0</v>
      </c>
      <c r="BT62" s="78"/>
      <c r="BU62" s="2"/>
      <c r="BV62" s="21"/>
    </row>
    <row r="63" spans="1:76">
      <c r="A63" s="2"/>
      <c r="B63" s="108"/>
      <c r="C63" s="108"/>
      <c r="D63" s="55"/>
      <c r="E63" s="27"/>
      <c r="F63" s="111"/>
      <c r="G63" s="111"/>
      <c r="H63" s="114"/>
      <c r="I63" s="28"/>
      <c r="J63" s="53"/>
      <c r="K63" s="53"/>
      <c r="L63" s="53"/>
      <c r="M63" s="53"/>
      <c r="N63" s="53"/>
      <c r="O63" s="53"/>
      <c r="P63" s="53"/>
      <c r="Q63" s="53"/>
      <c r="R63" s="53"/>
      <c r="S63" s="53"/>
      <c r="T63" s="54"/>
      <c r="U63" s="54"/>
      <c r="V63" s="54"/>
      <c r="W63" s="54"/>
      <c r="X63" s="54"/>
      <c r="Y63" s="54"/>
      <c r="Z63" s="54"/>
      <c r="AA63" s="54"/>
      <c r="AB63" s="54"/>
      <c r="AC63" s="54"/>
      <c r="AD63" s="54"/>
      <c r="AE63" s="54"/>
      <c r="AF63" s="54"/>
      <c r="AG63" s="54"/>
      <c r="AH63" s="54"/>
      <c r="AI63" s="54"/>
      <c r="AJ63" s="54"/>
      <c r="AK63" s="54"/>
      <c r="AL63" s="54"/>
      <c r="AM63" s="54"/>
      <c r="AN63" s="54"/>
      <c r="AO63" s="54"/>
      <c r="AP63" s="54"/>
      <c r="AQ63" s="54"/>
      <c r="AR63" s="54"/>
      <c r="AS63" s="54"/>
      <c r="AT63" s="54"/>
      <c r="AU63" s="54"/>
      <c r="AV63" s="54"/>
      <c r="AW63" s="54"/>
      <c r="AX63" s="54"/>
      <c r="AY63" s="54"/>
      <c r="AZ63" s="54"/>
      <c r="BA63" s="54"/>
      <c r="BB63" s="54"/>
      <c r="BC63" s="54"/>
      <c r="BD63" s="54"/>
      <c r="BE63" s="54"/>
      <c r="BF63" s="54"/>
      <c r="BG63" s="54"/>
      <c r="BH63" s="54"/>
      <c r="BI63" s="54"/>
      <c r="BJ63" s="54"/>
      <c r="BK63" s="54"/>
      <c r="BL63" s="54"/>
      <c r="BM63" s="54"/>
      <c r="BN63" s="54"/>
      <c r="BO63" s="54"/>
      <c r="BP63" s="54"/>
      <c r="BQ63" s="54"/>
      <c r="BR63" s="56"/>
      <c r="BS63" s="102"/>
      <c r="BT63" s="79"/>
      <c r="BU63" s="2"/>
      <c r="BV63" s="21"/>
    </row>
    <row r="64" spans="1:76">
      <c r="A64" s="2"/>
      <c r="B64" s="109"/>
      <c r="C64" s="109"/>
      <c r="D64" s="45" t="str">
        <f>IF(BV62&gt;0,DATEDIF(BV62,$BV$1,"YM"),"")</f>
        <v/>
      </c>
      <c r="E64" s="1" t="s">
        <v>23</v>
      </c>
      <c r="F64" s="112"/>
      <c r="G64" s="112"/>
      <c r="H64" s="115"/>
      <c r="I64" s="20" t="s">
        <v>24</v>
      </c>
      <c r="J64" s="93"/>
      <c r="K64" s="94"/>
      <c r="L64" s="94"/>
      <c r="M64" s="94"/>
      <c r="N64" s="95"/>
      <c r="O64" s="93"/>
      <c r="P64" s="94"/>
      <c r="Q64" s="94"/>
      <c r="R64" s="94"/>
      <c r="S64" s="95"/>
      <c r="T64" s="87"/>
      <c r="U64" s="88"/>
      <c r="V64" s="88"/>
      <c r="W64" s="88"/>
      <c r="X64" s="89"/>
      <c r="Y64" s="87"/>
      <c r="Z64" s="88"/>
      <c r="AA64" s="88"/>
      <c r="AB64" s="88"/>
      <c r="AC64" s="89"/>
      <c r="AD64" s="87"/>
      <c r="AE64" s="88"/>
      <c r="AF64" s="88"/>
      <c r="AG64" s="88"/>
      <c r="AH64" s="89"/>
      <c r="AI64" s="87"/>
      <c r="AJ64" s="88"/>
      <c r="AK64" s="88"/>
      <c r="AL64" s="88"/>
      <c r="AM64" s="89"/>
      <c r="AN64" s="87"/>
      <c r="AO64" s="88"/>
      <c r="AP64" s="88"/>
      <c r="AQ64" s="88"/>
      <c r="AR64" s="89"/>
      <c r="AS64" s="87"/>
      <c r="AT64" s="88"/>
      <c r="AU64" s="88"/>
      <c r="AV64" s="88"/>
      <c r="AW64" s="89"/>
      <c r="AX64" s="87"/>
      <c r="AY64" s="88"/>
      <c r="AZ64" s="88"/>
      <c r="BA64" s="88"/>
      <c r="BB64" s="89"/>
      <c r="BC64" s="87"/>
      <c r="BD64" s="88"/>
      <c r="BE64" s="88"/>
      <c r="BF64" s="88"/>
      <c r="BG64" s="89"/>
      <c r="BH64" s="87"/>
      <c r="BI64" s="88"/>
      <c r="BJ64" s="88"/>
      <c r="BK64" s="88"/>
      <c r="BL64" s="89"/>
      <c r="BM64" s="87"/>
      <c r="BN64" s="88"/>
      <c r="BO64" s="88"/>
      <c r="BP64" s="88"/>
      <c r="BQ64" s="89"/>
      <c r="BR64" s="47" t="str">
        <f>IF(SUM(J64:BQ64)&gt;0,SUM(J64:BQ64),"")</f>
        <v/>
      </c>
      <c r="BS64" s="103"/>
      <c r="BT64" s="80"/>
      <c r="BU64" s="2"/>
      <c r="BV64" s="57" t="str">
        <f>IF(ISBLANK(BV62),"",DATEDIF(BV62,$BV$1,"Y")&amp;"年"&amp;DATEDIF(BV62,$BV$1,"YM")&amp;"ヶ月")</f>
        <v/>
      </c>
      <c r="BW64" t="str">
        <f>IF(BR62="",BR64,BR62+BR64)</f>
        <v/>
      </c>
      <c r="BX64" t="e">
        <f>H62-BW64</f>
        <v>#VALUE!</v>
      </c>
    </row>
    <row r="65" spans="1:76">
      <c r="A65" s="2"/>
      <c r="B65" s="116" t="s">
        <v>52</v>
      </c>
      <c r="C65" s="107"/>
      <c r="D65" s="44" t="str">
        <f>IF(BV65&gt;0,DATEDIF(BV65,$BV$1,"Y"),"")</f>
        <v/>
      </c>
      <c r="E65" s="18" t="s">
        <v>3</v>
      </c>
      <c r="F65" s="110"/>
      <c r="G65" s="110"/>
      <c r="H65" s="113">
        <f>SUM(F65:G67)</f>
        <v>0</v>
      </c>
      <c r="I65" s="19" t="s">
        <v>22</v>
      </c>
      <c r="J65" s="90"/>
      <c r="K65" s="91"/>
      <c r="L65" s="91"/>
      <c r="M65" s="91"/>
      <c r="N65" s="92"/>
      <c r="O65" s="90"/>
      <c r="P65" s="91"/>
      <c r="Q65" s="91"/>
      <c r="R65" s="91"/>
      <c r="S65" s="92"/>
      <c r="T65" s="84"/>
      <c r="U65" s="85"/>
      <c r="V65" s="85"/>
      <c r="W65" s="85"/>
      <c r="X65" s="86"/>
      <c r="Y65" s="84"/>
      <c r="Z65" s="85"/>
      <c r="AA65" s="85"/>
      <c r="AB65" s="85"/>
      <c r="AC65" s="86"/>
      <c r="AD65" s="84"/>
      <c r="AE65" s="85"/>
      <c r="AF65" s="85"/>
      <c r="AG65" s="85"/>
      <c r="AH65" s="86"/>
      <c r="AI65" s="84"/>
      <c r="AJ65" s="85"/>
      <c r="AK65" s="85"/>
      <c r="AL65" s="85"/>
      <c r="AM65" s="86"/>
      <c r="AN65" s="84"/>
      <c r="AO65" s="85"/>
      <c r="AP65" s="85"/>
      <c r="AQ65" s="85"/>
      <c r="AR65" s="86"/>
      <c r="AS65" s="84"/>
      <c r="AT65" s="85"/>
      <c r="AU65" s="85"/>
      <c r="AV65" s="85"/>
      <c r="AW65" s="86"/>
      <c r="AX65" s="84"/>
      <c r="AY65" s="85"/>
      <c r="AZ65" s="85"/>
      <c r="BA65" s="85"/>
      <c r="BB65" s="86"/>
      <c r="BC65" s="84"/>
      <c r="BD65" s="85"/>
      <c r="BE65" s="85"/>
      <c r="BF65" s="85"/>
      <c r="BG65" s="86"/>
      <c r="BH65" s="84"/>
      <c r="BI65" s="85"/>
      <c r="BJ65" s="85"/>
      <c r="BK65" s="85"/>
      <c r="BL65" s="86"/>
      <c r="BM65" s="84"/>
      <c r="BN65" s="85"/>
      <c r="BO65" s="85"/>
      <c r="BP65" s="85"/>
      <c r="BQ65" s="86"/>
      <c r="BR65" s="46" t="str">
        <f>IF(SUM(J65:BQ65)&gt;0,SUM(J65:BQ65),"")</f>
        <v/>
      </c>
      <c r="BS65" s="101">
        <f>H65-SUM(J67:BQ67)</f>
        <v>0</v>
      </c>
      <c r="BT65" s="98"/>
      <c r="BU65" s="2"/>
      <c r="BV65" s="22"/>
    </row>
    <row r="66" spans="1:76">
      <c r="A66" s="2"/>
      <c r="B66" s="117"/>
      <c r="C66" s="108"/>
      <c r="D66" s="55"/>
      <c r="E66" s="27"/>
      <c r="F66" s="111"/>
      <c r="G66" s="111"/>
      <c r="H66" s="114"/>
      <c r="I66" s="28"/>
      <c r="J66" s="53"/>
      <c r="K66" s="53"/>
      <c r="L66" s="53"/>
      <c r="M66" s="53"/>
      <c r="N66" s="53"/>
      <c r="O66" s="53"/>
      <c r="P66" s="53"/>
      <c r="Q66" s="53"/>
      <c r="R66" s="53"/>
      <c r="S66" s="53"/>
      <c r="T66" s="54"/>
      <c r="U66" s="54"/>
      <c r="V66" s="54"/>
      <c r="W66" s="54"/>
      <c r="X66" s="54"/>
      <c r="Y66" s="54"/>
      <c r="Z66" s="54"/>
      <c r="AA66" s="54"/>
      <c r="AB66" s="54"/>
      <c r="AC66" s="54"/>
      <c r="AD66" s="54"/>
      <c r="AE66" s="54"/>
      <c r="AF66" s="54"/>
      <c r="AG66" s="54"/>
      <c r="AH66" s="54"/>
      <c r="AI66" s="54"/>
      <c r="AJ66" s="54"/>
      <c r="AK66" s="54"/>
      <c r="AL66" s="54"/>
      <c r="AM66" s="54"/>
      <c r="AN66" s="54"/>
      <c r="AO66" s="54"/>
      <c r="AP66" s="54"/>
      <c r="AQ66" s="54"/>
      <c r="AR66" s="54"/>
      <c r="AS66" s="54"/>
      <c r="AT66" s="54"/>
      <c r="AU66" s="54"/>
      <c r="AV66" s="54"/>
      <c r="AW66" s="54"/>
      <c r="AX66" s="54"/>
      <c r="AY66" s="54"/>
      <c r="AZ66" s="54"/>
      <c r="BA66" s="54"/>
      <c r="BB66" s="54"/>
      <c r="BC66" s="54"/>
      <c r="BD66" s="54"/>
      <c r="BE66" s="54"/>
      <c r="BF66" s="54"/>
      <c r="BG66" s="54"/>
      <c r="BH66" s="54"/>
      <c r="BI66" s="54"/>
      <c r="BJ66" s="54"/>
      <c r="BK66" s="54"/>
      <c r="BL66" s="54"/>
      <c r="BM66" s="54"/>
      <c r="BN66" s="54"/>
      <c r="BO66" s="54"/>
      <c r="BP66" s="54"/>
      <c r="BQ66" s="54"/>
      <c r="BR66" s="56"/>
      <c r="BS66" s="102"/>
      <c r="BT66" s="99"/>
      <c r="BU66" s="2"/>
      <c r="BV66" s="22"/>
    </row>
    <row r="67" spans="1:76">
      <c r="A67" s="2"/>
      <c r="B67" s="118"/>
      <c r="C67" s="109"/>
      <c r="D67" s="45" t="str">
        <f>IF(BV65&gt;0,DATEDIF(BV65,$BV$1,"YM"),"")</f>
        <v/>
      </c>
      <c r="E67" s="1" t="s">
        <v>23</v>
      </c>
      <c r="F67" s="112"/>
      <c r="G67" s="112"/>
      <c r="H67" s="115"/>
      <c r="I67" s="20" t="s">
        <v>24</v>
      </c>
      <c r="J67" s="93"/>
      <c r="K67" s="94"/>
      <c r="L67" s="94"/>
      <c r="M67" s="94"/>
      <c r="N67" s="95"/>
      <c r="O67" s="93"/>
      <c r="P67" s="94"/>
      <c r="Q67" s="94"/>
      <c r="R67" s="94"/>
      <c r="S67" s="95"/>
      <c r="T67" s="87"/>
      <c r="U67" s="88"/>
      <c r="V67" s="88"/>
      <c r="W67" s="88"/>
      <c r="X67" s="89"/>
      <c r="Y67" s="87"/>
      <c r="Z67" s="88"/>
      <c r="AA67" s="88"/>
      <c r="AB67" s="88"/>
      <c r="AC67" s="89"/>
      <c r="AD67" s="87"/>
      <c r="AE67" s="88"/>
      <c r="AF67" s="88"/>
      <c r="AG67" s="88"/>
      <c r="AH67" s="89"/>
      <c r="AI67" s="87"/>
      <c r="AJ67" s="88"/>
      <c r="AK67" s="88"/>
      <c r="AL67" s="88"/>
      <c r="AM67" s="89"/>
      <c r="AN67" s="87"/>
      <c r="AO67" s="88"/>
      <c r="AP67" s="88"/>
      <c r="AQ67" s="88"/>
      <c r="AR67" s="89"/>
      <c r="AS67" s="87"/>
      <c r="AT67" s="88"/>
      <c r="AU67" s="88"/>
      <c r="AV67" s="88"/>
      <c r="AW67" s="89"/>
      <c r="AX67" s="87"/>
      <c r="AY67" s="88"/>
      <c r="AZ67" s="88"/>
      <c r="BA67" s="88"/>
      <c r="BB67" s="89"/>
      <c r="BC67" s="87"/>
      <c r="BD67" s="88"/>
      <c r="BE67" s="88"/>
      <c r="BF67" s="88"/>
      <c r="BG67" s="89"/>
      <c r="BH67" s="87"/>
      <c r="BI67" s="88"/>
      <c r="BJ67" s="88"/>
      <c r="BK67" s="88"/>
      <c r="BL67" s="89"/>
      <c r="BM67" s="87"/>
      <c r="BN67" s="88"/>
      <c r="BO67" s="88"/>
      <c r="BP67" s="88"/>
      <c r="BQ67" s="89"/>
      <c r="BR67" s="47" t="str">
        <f>IF(SUM(J67:BQ67)&gt;0,SUM(J67:BQ67),"")</f>
        <v/>
      </c>
      <c r="BS67" s="103"/>
      <c r="BT67" s="100"/>
      <c r="BU67" s="2"/>
      <c r="BV67" s="57" t="str">
        <f>IF(ISBLANK(BV65),"",DATEDIF(BV65,$BV$1,"Y")&amp;"年"&amp;DATEDIF(BV65,$BV$1,"YM")&amp;"ヶ月")</f>
        <v/>
      </c>
      <c r="BW67" t="str">
        <f>IF(BR65="",BR67,BR65+BR67)</f>
        <v/>
      </c>
      <c r="BX67" t="e">
        <f>H65-BW67</f>
        <v>#VALUE!</v>
      </c>
    </row>
    <row r="68" spans="1:76">
      <c r="A68" s="2"/>
      <c r="B68" s="104" t="s">
        <v>53</v>
      </c>
      <c r="C68" s="107" t="s">
        <v>21</v>
      </c>
      <c r="D68" s="44" t="str">
        <f>IF(BV68&gt;0,DATEDIF(BV68,$BV$1,"Y"),"")</f>
        <v/>
      </c>
      <c r="E68" s="18" t="s">
        <v>3</v>
      </c>
      <c r="F68" s="110">
        <v>20</v>
      </c>
      <c r="G68" s="110">
        <v>20</v>
      </c>
      <c r="H68" s="113">
        <f>SUM(F68:G70)</f>
        <v>40</v>
      </c>
      <c r="I68" s="19" t="s">
        <v>22</v>
      </c>
      <c r="J68" s="90"/>
      <c r="K68" s="91"/>
      <c r="L68" s="91"/>
      <c r="M68" s="91"/>
      <c r="N68" s="92"/>
      <c r="O68" s="90"/>
      <c r="P68" s="91"/>
      <c r="Q68" s="91"/>
      <c r="R68" s="91"/>
      <c r="S68" s="92"/>
      <c r="T68" s="84">
        <v>1</v>
      </c>
      <c r="U68" s="85"/>
      <c r="V68" s="85"/>
      <c r="W68" s="85"/>
      <c r="X68" s="86"/>
      <c r="Y68" s="84">
        <v>1</v>
      </c>
      <c r="Z68" s="85"/>
      <c r="AA68" s="85"/>
      <c r="AB68" s="85"/>
      <c r="AC68" s="86"/>
      <c r="AD68" s="84">
        <v>0.5</v>
      </c>
      <c r="AE68" s="85"/>
      <c r="AF68" s="85"/>
      <c r="AG68" s="85"/>
      <c r="AH68" s="86"/>
      <c r="AI68" s="84">
        <v>1.5</v>
      </c>
      <c r="AJ68" s="85"/>
      <c r="AK68" s="85"/>
      <c r="AL68" s="85"/>
      <c r="AM68" s="86"/>
      <c r="AN68" s="84"/>
      <c r="AO68" s="85"/>
      <c r="AP68" s="85"/>
      <c r="AQ68" s="85"/>
      <c r="AR68" s="86"/>
      <c r="AS68" s="84"/>
      <c r="AT68" s="85"/>
      <c r="AU68" s="85"/>
      <c r="AV68" s="85"/>
      <c r="AW68" s="86"/>
      <c r="AX68" s="84"/>
      <c r="AY68" s="85"/>
      <c r="AZ68" s="85"/>
      <c r="BA68" s="85"/>
      <c r="BB68" s="86"/>
      <c r="BC68" s="84"/>
      <c r="BD68" s="85"/>
      <c r="BE68" s="85"/>
      <c r="BF68" s="85"/>
      <c r="BG68" s="86"/>
      <c r="BH68" s="84"/>
      <c r="BI68" s="85"/>
      <c r="BJ68" s="85"/>
      <c r="BK68" s="85"/>
      <c r="BL68" s="86"/>
      <c r="BM68" s="84"/>
      <c r="BN68" s="85"/>
      <c r="BO68" s="85"/>
      <c r="BP68" s="85"/>
      <c r="BQ68" s="86"/>
      <c r="BR68" s="66">
        <f>IF(SUM(J68:BQ68)&gt;0,SUM(J68:BQ68),"")</f>
        <v>4</v>
      </c>
      <c r="BS68" s="101">
        <f>H68-SUM(J70:BQ70)</f>
        <v>38</v>
      </c>
      <c r="BT68" s="98"/>
      <c r="BU68" s="2"/>
      <c r="BV68" s="22"/>
    </row>
    <row r="69" spans="1:76">
      <c r="A69" s="2"/>
      <c r="B69" s="105"/>
      <c r="C69" s="108"/>
      <c r="D69" s="55"/>
      <c r="E69" s="27"/>
      <c r="F69" s="111"/>
      <c r="G69" s="111"/>
      <c r="H69" s="114"/>
      <c r="I69" s="28"/>
      <c r="J69" s="53"/>
      <c r="K69" s="53"/>
      <c r="L69" s="53"/>
      <c r="M69" s="53"/>
      <c r="N69" s="53"/>
      <c r="O69" s="53"/>
      <c r="P69" s="53"/>
      <c r="Q69" s="53"/>
      <c r="R69" s="53"/>
      <c r="S69" s="53"/>
      <c r="T69" s="54">
        <v>3</v>
      </c>
      <c r="U69" s="54"/>
      <c r="V69" s="54"/>
      <c r="W69" s="54"/>
      <c r="X69" s="54"/>
      <c r="Y69" s="54">
        <v>4</v>
      </c>
      <c r="Z69" s="54"/>
      <c r="AA69" s="54"/>
      <c r="AB69" s="54"/>
      <c r="AC69" s="54"/>
      <c r="AD69" s="54" t="s">
        <v>54</v>
      </c>
      <c r="AE69" s="54"/>
      <c r="AF69" s="54"/>
      <c r="AG69" s="54"/>
      <c r="AH69" s="54"/>
      <c r="AI69" s="54" t="s">
        <v>55</v>
      </c>
      <c r="AJ69" s="54">
        <v>24</v>
      </c>
      <c r="AK69" s="54"/>
      <c r="AL69" s="54"/>
      <c r="AM69" s="54"/>
      <c r="AN69" s="54"/>
      <c r="AO69" s="54"/>
      <c r="AP69" s="54"/>
      <c r="AQ69" s="54"/>
      <c r="AR69" s="54"/>
      <c r="AS69" s="54"/>
      <c r="AT69" s="54"/>
      <c r="AU69" s="54"/>
      <c r="AV69" s="54"/>
      <c r="AW69" s="54"/>
      <c r="AX69" s="54"/>
      <c r="AY69" s="54"/>
      <c r="AZ69" s="54"/>
      <c r="BA69" s="54"/>
      <c r="BB69" s="54"/>
      <c r="BC69" s="54"/>
      <c r="BD69" s="54"/>
      <c r="BE69" s="54"/>
      <c r="BF69" s="54"/>
      <c r="BG69" s="54"/>
      <c r="BH69" s="54"/>
      <c r="BI69" s="54"/>
      <c r="BJ69" s="54"/>
      <c r="BK69" s="54"/>
      <c r="BL69" s="54"/>
      <c r="BM69" s="54"/>
      <c r="BN69" s="54"/>
      <c r="BO69" s="54"/>
      <c r="BP69" s="54"/>
      <c r="BQ69" s="54"/>
      <c r="BR69" s="56"/>
      <c r="BS69" s="102"/>
      <c r="BT69" s="99"/>
      <c r="BU69" s="2"/>
      <c r="BV69" s="22"/>
    </row>
    <row r="70" spans="1:76">
      <c r="A70" s="2"/>
      <c r="B70" s="106"/>
      <c r="C70" s="109"/>
      <c r="D70" s="45" t="str">
        <f>IF(BV68&gt;0,DATEDIF(BV68,$BV$1,"YM"),"")</f>
        <v/>
      </c>
      <c r="E70" s="1" t="s">
        <v>23</v>
      </c>
      <c r="F70" s="112"/>
      <c r="G70" s="112"/>
      <c r="H70" s="115"/>
      <c r="I70" s="20" t="s">
        <v>24</v>
      </c>
      <c r="J70" s="93">
        <v>1</v>
      </c>
      <c r="K70" s="94"/>
      <c r="L70" s="94"/>
      <c r="M70" s="94"/>
      <c r="N70" s="95"/>
      <c r="O70" s="93">
        <v>1</v>
      </c>
      <c r="P70" s="94"/>
      <c r="Q70" s="94"/>
      <c r="R70" s="94"/>
      <c r="S70" s="95"/>
      <c r="T70" s="87"/>
      <c r="U70" s="88"/>
      <c r="V70" s="88"/>
      <c r="W70" s="88"/>
      <c r="X70" s="89"/>
      <c r="Y70" s="87"/>
      <c r="Z70" s="88"/>
      <c r="AA70" s="88"/>
      <c r="AB70" s="88"/>
      <c r="AC70" s="89"/>
      <c r="AD70" s="87"/>
      <c r="AE70" s="88"/>
      <c r="AF70" s="88"/>
      <c r="AG70" s="88"/>
      <c r="AH70" s="89"/>
      <c r="AI70" s="87"/>
      <c r="AJ70" s="88"/>
      <c r="AK70" s="88"/>
      <c r="AL70" s="88"/>
      <c r="AM70" s="89"/>
      <c r="AN70" s="87"/>
      <c r="AO70" s="88"/>
      <c r="AP70" s="88"/>
      <c r="AQ70" s="88"/>
      <c r="AR70" s="89"/>
      <c r="AS70" s="87"/>
      <c r="AT70" s="88"/>
      <c r="AU70" s="88"/>
      <c r="AV70" s="88"/>
      <c r="AW70" s="89"/>
      <c r="AX70" s="87"/>
      <c r="AY70" s="88"/>
      <c r="AZ70" s="88"/>
      <c r="BA70" s="88"/>
      <c r="BB70" s="89"/>
      <c r="BC70" s="87"/>
      <c r="BD70" s="88"/>
      <c r="BE70" s="88"/>
      <c r="BF70" s="88"/>
      <c r="BG70" s="89"/>
      <c r="BH70" s="87"/>
      <c r="BI70" s="88"/>
      <c r="BJ70" s="88"/>
      <c r="BK70" s="88"/>
      <c r="BL70" s="89"/>
      <c r="BM70" s="87"/>
      <c r="BN70" s="88"/>
      <c r="BO70" s="88"/>
      <c r="BP70" s="88"/>
      <c r="BQ70" s="89"/>
      <c r="BR70" s="61">
        <f>IF(SUM(J70:BQ70)&gt;0,SUM(J70:BQ70),"")</f>
        <v>2</v>
      </c>
      <c r="BS70" s="103"/>
      <c r="BT70" s="100"/>
      <c r="BU70" s="2"/>
      <c r="BV70" s="57" t="str">
        <f>IF(ISBLANK(BV68),"",DATEDIF(BV68,$BV$1,"Y")&amp;"年"&amp;DATEDIF(BV68,$BV$1,"YM")&amp;"ヶ月")</f>
        <v/>
      </c>
      <c r="BW70">
        <f>IF(BR68="",BR70,BR68+BR70)</f>
        <v>6</v>
      </c>
      <c r="BX70">
        <f>H68-BW70</f>
        <v>34</v>
      </c>
    </row>
    <row r="71" spans="1:76">
      <c r="A71" s="2"/>
      <c r="B71" s="104"/>
      <c r="C71" s="107"/>
      <c r="D71" s="44" t="str">
        <f>IF(BV71&gt;0,DATEDIF(BV71,$BV$1,"Y"),"")</f>
        <v/>
      </c>
      <c r="E71" s="18" t="s">
        <v>3</v>
      </c>
      <c r="F71" s="110"/>
      <c r="G71" s="110"/>
      <c r="H71" s="113">
        <f>SUM(F71:G73)</f>
        <v>0</v>
      </c>
      <c r="I71" s="19" t="s">
        <v>22</v>
      </c>
      <c r="J71" s="90"/>
      <c r="K71" s="91"/>
      <c r="L71" s="91"/>
      <c r="M71" s="91"/>
      <c r="N71" s="92"/>
      <c r="O71" s="90"/>
      <c r="P71" s="91"/>
      <c r="Q71" s="91"/>
      <c r="R71" s="91"/>
      <c r="S71" s="92"/>
      <c r="T71" s="84"/>
      <c r="U71" s="85"/>
      <c r="V71" s="85"/>
      <c r="W71" s="85"/>
      <c r="X71" s="86"/>
      <c r="Y71" s="84"/>
      <c r="Z71" s="85"/>
      <c r="AA71" s="85"/>
      <c r="AB71" s="85"/>
      <c r="AC71" s="86"/>
      <c r="AD71" s="84"/>
      <c r="AE71" s="85"/>
      <c r="AF71" s="85"/>
      <c r="AG71" s="85"/>
      <c r="AH71" s="86"/>
      <c r="AI71" s="84"/>
      <c r="AJ71" s="85"/>
      <c r="AK71" s="85"/>
      <c r="AL71" s="85"/>
      <c r="AM71" s="86"/>
      <c r="AN71" s="84"/>
      <c r="AO71" s="85"/>
      <c r="AP71" s="85"/>
      <c r="AQ71" s="85"/>
      <c r="AR71" s="86"/>
      <c r="AS71" s="84"/>
      <c r="AT71" s="85"/>
      <c r="AU71" s="85"/>
      <c r="AV71" s="85"/>
      <c r="AW71" s="86"/>
      <c r="AX71" s="84"/>
      <c r="AY71" s="85"/>
      <c r="AZ71" s="85"/>
      <c r="BA71" s="85"/>
      <c r="BB71" s="86"/>
      <c r="BC71" s="84"/>
      <c r="BD71" s="85"/>
      <c r="BE71" s="85"/>
      <c r="BF71" s="85"/>
      <c r="BG71" s="86"/>
      <c r="BH71" s="84"/>
      <c r="BI71" s="85"/>
      <c r="BJ71" s="85"/>
      <c r="BK71" s="85"/>
      <c r="BL71" s="86"/>
      <c r="BM71" s="84"/>
      <c r="BN71" s="85"/>
      <c r="BO71" s="85"/>
      <c r="BP71" s="85"/>
      <c r="BQ71" s="86"/>
      <c r="BR71" s="46" t="str">
        <f>IF(SUM(J71:BQ71)&gt;0,SUM(J71:BQ71),"")</f>
        <v/>
      </c>
      <c r="BS71" s="101">
        <f>H71-SUM(J73:BQ73)</f>
        <v>0</v>
      </c>
      <c r="BT71" s="98"/>
      <c r="BU71" s="2"/>
      <c r="BV71" s="22"/>
    </row>
    <row r="72" spans="1:76">
      <c r="A72" s="2"/>
      <c r="B72" s="105"/>
      <c r="C72" s="108"/>
      <c r="D72" s="55"/>
      <c r="E72" s="27"/>
      <c r="F72" s="111"/>
      <c r="G72" s="111"/>
      <c r="H72" s="114"/>
      <c r="I72" s="28"/>
      <c r="J72" s="53"/>
      <c r="K72" s="53"/>
      <c r="L72" s="53"/>
      <c r="M72" s="53"/>
      <c r="N72" s="53"/>
      <c r="O72" s="53"/>
      <c r="P72" s="53"/>
      <c r="Q72" s="53"/>
      <c r="R72" s="53"/>
      <c r="S72" s="53"/>
      <c r="T72" s="54"/>
      <c r="U72" s="54"/>
      <c r="V72" s="54"/>
      <c r="W72" s="54"/>
      <c r="X72" s="54"/>
      <c r="Y72" s="54"/>
      <c r="Z72" s="54"/>
      <c r="AA72" s="54"/>
      <c r="AB72" s="54"/>
      <c r="AC72" s="54"/>
      <c r="AD72" s="54"/>
      <c r="AE72" s="54"/>
      <c r="AF72" s="54"/>
      <c r="AG72" s="54"/>
      <c r="AH72" s="54"/>
      <c r="AI72" s="54"/>
      <c r="AJ72" s="54"/>
      <c r="AK72" s="54"/>
      <c r="AL72" s="54"/>
      <c r="AM72" s="54"/>
      <c r="AN72" s="54"/>
      <c r="AO72" s="54"/>
      <c r="AP72" s="54"/>
      <c r="AQ72" s="54"/>
      <c r="AR72" s="54"/>
      <c r="AS72" s="54"/>
      <c r="AT72" s="54"/>
      <c r="AU72" s="54"/>
      <c r="AV72" s="54"/>
      <c r="AW72" s="54"/>
      <c r="AX72" s="54"/>
      <c r="AY72" s="54"/>
      <c r="AZ72" s="54"/>
      <c r="BA72" s="54"/>
      <c r="BB72" s="54"/>
      <c r="BC72" s="54"/>
      <c r="BD72" s="54"/>
      <c r="BE72" s="54"/>
      <c r="BF72" s="54"/>
      <c r="BG72" s="54"/>
      <c r="BH72" s="54"/>
      <c r="BI72" s="54"/>
      <c r="BJ72" s="54"/>
      <c r="BK72" s="54"/>
      <c r="BL72" s="54"/>
      <c r="BM72" s="54"/>
      <c r="BN72" s="54"/>
      <c r="BO72" s="54"/>
      <c r="BP72" s="54"/>
      <c r="BQ72" s="54"/>
      <c r="BR72" s="56"/>
      <c r="BS72" s="102"/>
      <c r="BT72" s="99"/>
      <c r="BU72" s="2"/>
      <c r="BV72" s="22"/>
    </row>
    <row r="73" spans="1:76">
      <c r="A73" s="2"/>
      <c r="B73" s="106"/>
      <c r="C73" s="109"/>
      <c r="D73" s="45" t="str">
        <f>IF(BV71&gt;0,DATEDIF(BV71,$BV$1,"YM"),"")</f>
        <v/>
      </c>
      <c r="E73" s="1" t="s">
        <v>23</v>
      </c>
      <c r="F73" s="112"/>
      <c r="G73" s="112"/>
      <c r="H73" s="115"/>
      <c r="I73" s="20" t="s">
        <v>24</v>
      </c>
      <c r="J73" s="93"/>
      <c r="K73" s="94"/>
      <c r="L73" s="94"/>
      <c r="M73" s="94"/>
      <c r="N73" s="95"/>
      <c r="O73" s="93"/>
      <c r="P73" s="94"/>
      <c r="Q73" s="94"/>
      <c r="R73" s="94"/>
      <c r="S73" s="95"/>
      <c r="T73" s="87"/>
      <c r="U73" s="88"/>
      <c r="V73" s="88"/>
      <c r="W73" s="88"/>
      <c r="X73" s="89"/>
      <c r="Y73" s="87"/>
      <c r="Z73" s="88"/>
      <c r="AA73" s="88"/>
      <c r="AB73" s="88"/>
      <c r="AC73" s="89"/>
      <c r="AD73" s="87"/>
      <c r="AE73" s="88"/>
      <c r="AF73" s="88"/>
      <c r="AG73" s="88"/>
      <c r="AH73" s="89"/>
      <c r="AI73" s="87"/>
      <c r="AJ73" s="88"/>
      <c r="AK73" s="88"/>
      <c r="AL73" s="88"/>
      <c r="AM73" s="89"/>
      <c r="AN73" s="87"/>
      <c r="AO73" s="88"/>
      <c r="AP73" s="88"/>
      <c r="AQ73" s="88"/>
      <c r="AR73" s="89"/>
      <c r="AS73" s="87"/>
      <c r="AT73" s="88"/>
      <c r="AU73" s="88"/>
      <c r="AV73" s="88"/>
      <c r="AW73" s="89"/>
      <c r="AX73" s="87"/>
      <c r="AY73" s="88"/>
      <c r="AZ73" s="88"/>
      <c r="BA73" s="88"/>
      <c r="BB73" s="89"/>
      <c r="BC73" s="87"/>
      <c r="BD73" s="88"/>
      <c r="BE73" s="88"/>
      <c r="BF73" s="88"/>
      <c r="BG73" s="89"/>
      <c r="BH73" s="87"/>
      <c r="BI73" s="88"/>
      <c r="BJ73" s="88"/>
      <c r="BK73" s="88"/>
      <c r="BL73" s="89"/>
      <c r="BM73" s="87"/>
      <c r="BN73" s="88"/>
      <c r="BO73" s="88"/>
      <c r="BP73" s="88"/>
      <c r="BQ73" s="89"/>
      <c r="BR73" s="47" t="str">
        <f>IF(SUM(J73:BQ73)&gt;0,SUM(J73:BQ73),"")</f>
        <v/>
      </c>
      <c r="BS73" s="103"/>
      <c r="BT73" s="100"/>
      <c r="BU73" s="2"/>
      <c r="BV73" s="57" t="str">
        <f>IF(ISBLANK(BV71),"",DATEDIF(BV71,$BV$1,"Y")&amp;"年"&amp;DATEDIF(BV71,$BV$1,"YM")&amp;"ヶ月")</f>
        <v/>
      </c>
      <c r="BW73" t="str">
        <f>IF(BR71="",BR73,BR71+BR73)</f>
        <v/>
      </c>
      <c r="BX73" t="e">
        <f>H71-BW73</f>
        <v>#VALUE!</v>
      </c>
    </row>
    <row r="74" spans="1:76">
      <c r="A74" s="2"/>
      <c r="B74" s="104"/>
      <c r="C74" s="107"/>
      <c r="D74" s="44" t="str">
        <f>IF(BV74&gt;0,DATEDIF(BV74,$BV$1,"Y"),"")</f>
        <v/>
      </c>
      <c r="E74" s="18" t="s">
        <v>3</v>
      </c>
      <c r="F74" s="110"/>
      <c r="G74" s="110"/>
      <c r="H74" s="113">
        <f>SUM(F74:G76)</f>
        <v>0</v>
      </c>
      <c r="I74" s="19" t="s">
        <v>22</v>
      </c>
      <c r="J74" s="90"/>
      <c r="K74" s="91"/>
      <c r="L74" s="91"/>
      <c r="M74" s="91"/>
      <c r="N74" s="92"/>
      <c r="O74" s="90"/>
      <c r="P74" s="91"/>
      <c r="Q74" s="91"/>
      <c r="R74" s="91"/>
      <c r="S74" s="92"/>
      <c r="T74" s="84"/>
      <c r="U74" s="85"/>
      <c r="V74" s="85"/>
      <c r="W74" s="85"/>
      <c r="X74" s="86"/>
      <c r="Y74" s="84"/>
      <c r="Z74" s="85"/>
      <c r="AA74" s="85"/>
      <c r="AB74" s="85"/>
      <c r="AC74" s="86"/>
      <c r="AD74" s="84"/>
      <c r="AE74" s="85"/>
      <c r="AF74" s="85"/>
      <c r="AG74" s="85"/>
      <c r="AH74" s="86"/>
      <c r="AI74" s="84"/>
      <c r="AJ74" s="85"/>
      <c r="AK74" s="85"/>
      <c r="AL74" s="85"/>
      <c r="AM74" s="86"/>
      <c r="AN74" s="84"/>
      <c r="AO74" s="85"/>
      <c r="AP74" s="85"/>
      <c r="AQ74" s="85"/>
      <c r="AR74" s="86"/>
      <c r="AS74" s="84"/>
      <c r="AT74" s="85"/>
      <c r="AU74" s="85"/>
      <c r="AV74" s="85"/>
      <c r="AW74" s="86"/>
      <c r="AX74" s="84"/>
      <c r="AY74" s="85"/>
      <c r="AZ74" s="85"/>
      <c r="BA74" s="85"/>
      <c r="BB74" s="86"/>
      <c r="BC74" s="84"/>
      <c r="BD74" s="85"/>
      <c r="BE74" s="85"/>
      <c r="BF74" s="85"/>
      <c r="BG74" s="86"/>
      <c r="BH74" s="84"/>
      <c r="BI74" s="85"/>
      <c r="BJ74" s="85"/>
      <c r="BK74" s="85"/>
      <c r="BL74" s="86"/>
      <c r="BM74" s="84"/>
      <c r="BN74" s="85"/>
      <c r="BO74" s="85"/>
      <c r="BP74" s="85"/>
      <c r="BQ74" s="86"/>
      <c r="BR74" s="46" t="str">
        <f>IF(SUM(J74:BQ74)&gt;0,SUM(J74:BQ74),"")</f>
        <v/>
      </c>
      <c r="BS74" s="101">
        <f>H74-SUM(J76:BQ76)</f>
        <v>0</v>
      </c>
      <c r="BT74" s="98"/>
      <c r="BU74" s="2"/>
      <c r="BV74" s="22"/>
    </row>
    <row r="75" spans="1:76">
      <c r="A75" s="2"/>
      <c r="B75" s="105"/>
      <c r="C75" s="108"/>
      <c r="D75" s="55"/>
      <c r="E75" s="27"/>
      <c r="F75" s="111"/>
      <c r="G75" s="111"/>
      <c r="H75" s="114"/>
      <c r="I75" s="28"/>
      <c r="J75" s="53"/>
      <c r="K75" s="53"/>
      <c r="L75" s="53"/>
      <c r="M75" s="53"/>
      <c r="N75" s="53"/>
      <c r="O75" s="53"/>
      <c r="P75" s="53"/>
      <c r="Q75" s="53"/>
      <c r="R75" s="53"/>
      <c r="S75" s="53"/>
      <c r="T75" s="54"/>
      <c r="U75" s="54"/>
      <c r="V75" s="54"/>
      <c r="W75" s="54"/>
      <c r="X75" s="54"/>
      <c r="Y75" s="54"/>
      <c r="Z75" s="54"/>
      <c r="AA75" s="54"/>
      <c r="AB75" s="54"/>
      <c r="AC75" s="54"/>
      <c r="AD75" s="54"/>
      <c r="AE75" s="54"/>
      <c r="AF75" s="54"/>
      <c r="AG75" s="54"/>
      <c r="AH75" s="54"/>
      <c r="AI75" s="54"/>
      <c r="AJ75" s="54"/>
      <c r="AK75" s="54"/>
      <c r="AL75" s="54"/>
      <c r="AM75" s="54"/>
      <c r="AN75" s="54"/>
      <c r="AO75" s="54"/>
      <c r="AP75" s="54"/>
      <c r="AQ75" s="54"/>
      <c r="AR75" s="54"/>
      <c r="AS75" s="54"/>
      <c r="AT75" s="54"/>
      <c r="AU75" s="54"/>
      <c r="AV75" s="54"/>
      <c r="AW75" s="54"/>
      <c r="AX75" s="54"/>
      <c r="AY75" s="54"/>
      <c r="AZ75" s="54"/>
      <c r="BA75" s="54"/>
      <c r="BB75" s="54"/>
      <c r="BC75" s="54"/>
      <c r="BD75" s="54"/>
      <c r="BE75" s="54"/>
      <c r="BF75" s="54"/>
      <c r="BG75" s="54"/>
      <c r="BH75" s="54"/>
      <c r="BI75" s="54"/>
      <c r="BJ75" s="54"/>
      <c r="BK75" s="54"/>
      <c r="BL75" s="54"/>
      <c r="BM75" s="54"/>
      <c r="BN75" s="54"/>
      <c r="BO75" s="54"/>
      <c r="BP75" s="54"/>
      <c r="BQ75" s="54"/>
      <c r="BR75" s="56"/>
      <c r="BS75" s="102"/>
      <c r="BT75" s="99"/>
      <c r="BU75" s="2"/>
      <c r="BV75" s="22"/>
    </row>
    <row r="76" spans="1:76">
      <c r="A76" s="2"/>
      <c r="B76" s="106"/>
      <c r="C76" s="109"/>
      <c r="D76" s="45" t="str">
        <f>IF(BV74&gt;0,DATEDIF(BV74,$BV$1,"YM"),"")</f>
        <v/>
      </c>
      <c r="E76" s="1" t="s">
        <v>23</v>
      </c>
      <c r="F76" s="112"/>
      <c r="G76" s="112"/>
      <c r="H76" s="115"/>
      <c r="I76" s="20" t="s">
        <v>24</v>
      </c>
      <c r="J76" s="93"/>
      <c r="K76" s="94"/>
      <c r="L76" s="94"/>
      <c r="M76" s="94"/>
      <c r="N76" s="95"/>
      <c r="O76" s="93"/>
      <c r="P76" s="94"/>
      <c r="Q76" s="94"/>
      <c r="R76" s="94"/>
      <c r="S76" s="95"/>
      <c r="T76" s="87"/>
      <c r="U76" s="88"/>
      <c r="V76" s="88"/>
      <c r="W76" s="88"/>
      <c r="X76" s="89"/>
      <c r="Y76" s="87"/>
      <c r="Z76" s="88"/>
      <c r="AA76" s="88"/>
      <c r="AB76" s="88"/>
      <c r="AC76" s="89"/>
      <c r="AD76" s="87"/>
      <c r="AE76" s="88"/>
      <c r="AF76" s="88"/>
      <c r="AG76" s="88"/>
      <c r="AH76" s="89"/>
      <c r="AI76" s="87"/>
      <c r="AJ76" s="88"/>
      <c r="AK76" s="88"/>
      <c r="AL76" s="88"/>
      <c r="AM76" s="89"/>
      <c r="AN76" s="87"/>
      <c r="AO76" s="88"/>
      <c r="AP76" s="88"/>
      <c r="AQ76" s="88"/>
      <c r="AR76" s="89"/>
      <c r="AS76" s="87"/>
      <c r="AT76" s="88"/>
      <c r="AU76" s="88"/>
      <c r="AV76" s="88"/>
      <c r="AW76" s="89"/>
      <c r="AX76" s="87"/>
      <c r="AY76" s="88"/>
      <c r="AZ76" s="88"/>
      <c r="BA76" s="88"/>
      <c r="BB76" s="89"/>
      <c r="BC76" s="87"/>
      <c r="BD76" s="88"/>
      <c r="BE76" s="88"/>
      <c r="BF76" s="88"/>
      <c r="BG76" s="89"/>
      <c r="BH76" s="87"/>
      <c r="BI76" s="88"/>
      <c r="BJ76" s="88"/>
      <c r="BK76" s="88"/>
      <c r="BL76" s="89"/>
      <c r="BM76" s="87"/>
      <c r="BN76" s="88"/>
      <c r="BO76" s="88"/>
      <c r="BP76" s="88"/>
      <c r="BQ76" s="89"/>
      <c r="BR76" s="47" t="str">
        <f>IF(SUM(J76:BQ76)&gt;0,SUM(J76:BQ76),"")</f>
        <v/>
      </c>
      <c r="BS76" s="103"/>
      <c r="BT76" s="100"/>
      <c r="BU76" s="2"/>
      <c r="BV76" s="57" t="str">
        <f>IF(ISBLANK(BV74),"",DATEDIF(BV74,$BV$1,"Y")&amp;"年"&amp;DATEDIF(BV74,$BV$1,"YM")&amp;"ヶ月")</f>
        <v/>
      </c>
      <c r="BW76" t="str">
        <f>IF(BR74="",BR76,BR74+BR76)</f>
        <v/>
      </c>
      <c r="BX76" t="e">
        <f>H74-BW76</f>
        <v>#VALUE!</v>
      </c>
    </row>
    <row r="77" spans="1:76">
      <c r="A77" s="2"/>
      <c r="B77" s="104"/>
      <c r="C77" s="107"/>
      <c r="D77" s="44" t="str">
        <f>IF(BV77&gt;0,DATEDIF(BV77,$BV$1,"Y"),"")</f>
        <v/>
      </c>
      <c r="E77" s="18" t="s">
        <v>3</v>
      </c>
      <c r="F77" s="110"/>
      <c r="G77" s="110"/>
      <c r="H77" s="113">
        <f>SUM(F77:G79)</f>
        <v>0</v>
      </c>
      <c r="I77" s="19" t="s">
        <v>22</v>
      </c>
      <c r="J77" s="90"/>
      <c r="K77" s="91"/>
      <c r="L77" s="91"/>
      <c r="M77" s="91"/>
      <c r="N77" s="92"/>
      <c r="O77" s="90"/>
      <c r="P77" s="91"/>
      <c r="Q77" s="91"/>
      <c r="R77" s="91"/>
      <c r="S77" s="92"/>
      <c r="T77" s="84"/>
      <c r="U77" s="85"/>
      <c r="V77" s="85"/>
      <c r="W77" s="85"/>
      <c r="X77" s="86"/>
      <c r="Y77" s="84"/>
      <c r="Z77" s="85"/>
      <c r="AA77" s="85"/>
      <c r="AB77" s="85"/>
      <c r="AC77" s="86"/>
      <c r="AD77" s="84"/>
      <c r="AE77" s="85"/>
      <c r="AF77" s="85"/>
      <c r="AG77" s="85"/>
      <c r="AH77" s="86"/>
      <c r="AI77" s="84"/>
      <c r="AJ77" s="85"/>
      <c r="AK77" s="85"/>
      <c r="AL77" s="85"/>
      <c r="AM77" s="86"/>
      <c r="AN77" s="84"/>
      <c r="AO77" s="85"/>
      <c r="AP77" s="85"/>
      <c r="AQ77" s="85"/>
      <c r="AR77" s="86"/>
      <c r="AS77" s="84"/>
      <c r="AT77" s="85"/>
      <c r="AU77" s="85"/>
      <c r="AV77" s="85"/>
      <c r="AW77" s="86"/>
      <c r="AX77" s="84"/>
      <c r="AY77" s="85"/>
      <c r="AZ77" s="85"/>
      <c r="BA77" s="85"/>
      <c r="BB77" s="86"/>
      <c r="BC77" s="84"/>
      <c r="BD77" s="85"/>
      <c r="BE77" s="85"/>
      <c r="BF77" s="85"/>
      <c r="BG77" s="86"/>
      <c r="BH77" s="84"/>
      <c r="BI77" s="85"/>
      <c r="BJ77" s="85"/>
      <c r="BK77" s="85"/>
      <c r="BL77" s="86"/>
      <c r="BM77" s="84"/>
      <c r="BN77" s="85"/>
      <c r="BO77" s="85"/>
      <c r="BP77" s="85"/>
      <c r="BQ77" s="86"/>
      <c r="BR77" s="46" t="str">
        <f>IF(SUM(J77:BQ77)&gt;0,SUM(J77:BQ77),"")</f>
        <v/>
      </c>
      <c r="BS77" s="101">
        <f>H77-SUM(J79:BQ79)</f>
        <v>0</v>
      </c>
      <c r="BT77" s="98"/>
      <c r="BU77" s="2"/>
      <c r="BV77" s="22"/>
    </row>
    <row r="78" spans="1:76">
      <c r="A78" s="2"/>
      <c r="B78" s="105"/>
      <c r="C78" s="108"/>
      <c r="D78" s="55"/>
      <c r="E78" s="27"/>
      <c r="F78" s="111"/>
      <c r="G78" s="111"/>
      <c r="H78" s="114"/>
      <c r="I78" s="28"/>
      <c r="J78" s="53"/>
      <c r="K78" s="53"/>
      <c r="L78" s="53"/>
      <c r="M78" s="53"/>
      <c r="N78" s="53"/>
      <c r="O78" s="53"/>
      <c r="P78" s="53"/>
      <c r="Q78" s="53"/>
      <c r="R78" s="53"/>
      <c r="S78" s="53"/>
      <c r="T78" s="54"/>
      <c r="U78" s="54"/>
      <c r="V78" s="54"/>
      <c r="W78" s="54"/>
      <c r="X78" s="54"/>
      <c r="Y78" s="54"/>
      <c r="Z78" s="54"/>
      <c r="AA78" s="54"/>
      <c r="AB78" s="54"/>
      <c r="AC78" s="54"/>
      <c r="AD78" s="54"/>
      <c r="AE78" s="54"/>
      <c r="AF78" s="54"/>
      <c r="AG78" s="54"/>
      <c r="AH78" s="54"/>
      <c r="AI78" s="54"/>
      <c r="AJ78" s="54"/>
      <c r="AK78" s="54"/>
      <c r="AL78" s="54"/>
      <c r="AM78" s="54"/>
      <c r="AN78" s="54"/>
      <c r="AO78" s="54"/>
      <c r="AP78" s="54"/>
      <c r="AQ78" s="54"/>
      <c r="AR78" s="54"/>
      <c r="AS78" s="54"/>
      <c r="AT78" s="54"/>
      <c r="AU78" s="54"/>
      <c r="AV78" s="54"/>
      <c r="AW78" s="54"/>
      <c r="AX78" s="54"/>
      <c r="AY78" s="54"/>
      <c r="AZ78" s="54"/>
      <c r="BA78" s="54"/>
      <c r="BB78" s="54"/>
      <c r="BC78" s="54"/>
      <c r="BD78" s="54"/>
      <c r="BE78" s="54"/>
      <c r="BF78" s="54"/>
      <c r="BG78" s="54"/>
      <c r="BH78" s="54"/>
      <c r="BI78" s="54"/>
      <c r="BJ78" s="54"/>
      <c r="BK78" s="54"/>
      <c r="BL78" s="54"/>
      <c r="BM78" s="54"/>
      <c r="BN78" s="54"/>
      <c r="BO78" s="54"/>
      <c r="BP78" s="54"/>
      <c r="BQ78" s="54"/>
      <c r="BR78" s="56"/>
      <c r="BS78" s="102"/>
      <c r="BT78" s="99"/>
      <c r="BU78" s="2"/>
      <c r="BV78" s="22"/>
    </row>
    <row r="79" spans="1:76">
      <c r="A79" s="2"/>
      <c r="B79" s="106"/>
      <c r="C79" s="109"/>
      <c r="D79" s="45" t="str">
        <f>IF(BV77&gt;0,DATEDIF(BV77,$BV$1,"YM"),"")</f>
        <v/>
      </c>
      <c r="E79" s="1" t="s">
        <v>23</v>
      </c>
      <c r="F79" s="112"/>
      <c r="G79" s="112"/>
      <c r="H79" s="115"/>
      <c r="I79" s="20" t="s">
        <v>24</v>
      </c>
      <c r="J79" s="93"/>
      <c r="K79" s="94"/>
      <c r="L79" s="94"/>
      <c r="M79" s="94"/>
      <c r="N79" s="95"/>
      <c r="O79" s="93"/>
      <c r="P79" s="94"/>
      <c r="Q79" s="94"/>
      <c r="R79" s="94"/>
      <c r="S79" s="95"/>
      <c r="T79" s="87"/>
      <c r="U79" s="88"/>
      <c r="V79" s="88"/>
      <c r="W79" s="88"/>
      <c r="X79" s="89"/>
      <c r="Y79" s="87"/>
      <c r="Z79" s="88"/>
      <c r="AA79" s="88"/>
      <c r="AB79" s="88"/>
      <c r="AC79" s="89"/>
      <c r="AD79" s="87"/>
      <c r="AE79" s="88"/>
      <c r="AF79" s="88"/>
      <c r="AG79" s="88"/>
      <c r="AH79" s="89"/>
      <c r="AI79" s="87"/>
      <c r="AJ79" s="88"/>
      <c r="AK79" s="88"/>
      <c r="AL79" s="88"/>
      <c r="AM79" s="89"/>
      <c r="AN79" s="87"/>
      <c r="AO79" s="88"/>
      <c r="AP79" s="88"/>
      <c r="AQ79" s="88"/>
      <c r="AR79" s="89"/>
      <c r="AS79" s="87"/>
      <c r="AT79" s="88"/>
      <c r="AU79" s="88"/>
      <c r="AV79" s="88"/>
      <c r="AW79" s="89"/>
      <c r="AX79" s="87"/>
      <c r="AY79" s="88"/>
      <c r="AZ79" s="88"/>
      <c r="BA79" s="88"/>
      <c r="BB79" s="89"/>
      <c r="BC79" s="87"/>
      <c r="BD79" s="88"/>
      <c r="BE79" s="88"/>
      <c r="BF79" s="88"/>
      <c r="BG79" s="89"/>
      <c r="BH79" s="87"/>
      <c r="BI79" s="88"/>
      <c r="BJ79" s="88"/>
      <c r="BK79" s="88"/>
      <c r="BL79" s="89"/>
      <c r="BM79" s="87"/>
      <c r="BN79" s="88"/>
      <c r="BO79" s="88"/>
      <c r="BP79" s="88"/>
      <c r="BQ79" s="89"/>
      <c r="BR79" s="47" t="str">
        <f>IF(SUM(J79:BQ79)&gt;0,SUM(J79:BQ79),"")</f>
        <v/>
      </c>
      <c r="BS79" s="103"/>
      <c r="BT79" s="100"/>
      <c r="BU79" s="2"/>
      <c r="BV79" s="57" t="str">
        <f>IF(ISBLANK(BV77),"",DATEDIF(BV77,$BV$1,"Y")&amp;"年"&amp;DATEDIF(BV77,$BV$1,"YM")&amp;"ヶ月")</f>
        <v/>
      </c>
      <c r="BW79" t="str">
        <f>IF(BR77="",BR79,BR77+BR79)</f>
        <v/>
      </c>
      <c r="BX79" t="e">
        <f>H77-BW79</f>
        <v>#VALUE!</v>
      </c>
    </row>
    <row r="80" spans="1:76">
      <c r="A80" s="2"/>
      <c r="B80" s="2"/>
      <c r="C80" s="2"/>
      <c r="D80" s="2"/>
      <c r="E80" s="2"/>
      <c r="F80" s="5"/>
      <c r="G80" s="5"/>
      <c r="H80" s="5"/>
      <c r="I80" s="2"/>
      <c r="J80" s="29"/>
      <c r="K80" s="29"/>
      <c r="L80" s="29"/>
      <c r="M80" s="29"/>
      <c r="N80" s="29"/>
      <c r="O80" s="29"/>
      <c r="P80" s="29"/>
      <c r="Q80" s="29"/>
      <c r="R80" s="29"/>
      <c r="S80" s="29"/>
      <c r="T80" s="29"/>
      <c r="U80" s="29"/>
      <c r="V80" s="29"/>
      <c r="W80" s="29"/>
      <c r="X80" s="29"/>
      <c r="Y80" s="29"/>
      <c r="Z80" s="29"/>
      <c r="AA80" s="29"/>
      <c r="AB80" s="29"/>
      <c r="AC80" s="29"/>
      <c r="AD80" s="29"/>
      <c r="AE80" s="29"/>
      <c r="AF80" s="29"/>
      <c r="AG80" s="29"/>
      <c r="AH80" s="29"/>
      <c r="AI80" s="29"/>
      <c r="AJ80" s="29"/>
      <c r="AK80" s="29"/>
      <c r="AL80" s="29"/>
      <c r="AM80" s="29"/>
      <c r="AN80" s="29"/>
      <c r="AO80" s="29"/>
      <c r="AP80" s="29"/>
      <c r="AQ80" s="29"/>
      <c r="AR80" s="29"/>
      <c r="AS80" s="29"/>
      <c r="AT80" s="29"/>
      <c r="AU80" s="29"/>
      <c r="AV80" s="29"/>
      <c r="AW80" s="29"/>
      <c r="AX80" s="29"/>
      <c r="AY80" s="29"/>
      <c r="AZ80" s="29"/>
      <c r="BA80" s="29"/>
      <c r="BB80" s="29"/>
      <c r="BC80" s="29"/>
      <c r="BD80" s="29"/>
      <c r="BE80" s="29"/>
      <c r="BF80" s="29"/>
      <c r="BG80" s="29"/>
      <c r="BH80" s="29"/>
      <c r="BI80" s="29"/>
      <c r="BJ80" s="29"/>
      <c r="BK80" s="29"/>
      <c r="BL80" s="29"/>
      <c r="BM80" s="29"/>
      <c r="BN80" s="29"/>
      <c r="BO80" s="29"/>
      <c r="BP80" s="29"/>
      <c r="BQ80" s="29"/>
      <c r="BR80" s="2"/>
      <c r="BS80" s="2"/>
      <c r="BT80" s="5"/>
      <c r="BU80" s="2"/>
    </row>
    <row r="81" spans="10:70">
      <c r="BR81" s="2"/>
    </row>
    <row r="83" spans="10:70">
      <c r="J83" s="24">
        <f>J4</f>
        <v>4</v>
      </c>
      <c r="K83" s="24">
        <f>$J$83</f>
        <v>4</v>
      </c>
      <c r="L83" s="24">
        <f t="shared" ref="L83:N83" si="0">$J$83</f>
        <v>4</v>
      </c>
      <c r="M83" s="24">
        <f t="shared" si="0"/>
        <v>4</v>
      </c>
      <c r="N83" s="24">
        <f t="shared" si="0"/>
        <v>4</v>
      </c>
      <c r="O83" s="24">
        <f t="shared" ref="O83" si="1">O4</f>
        <v>5</v>
      </c>
      <c r="P83" s="24">
        <f>$O$83</f>
        <v>5</v>
      </c>
      <c r="Q83" s="24">
        <f t="shared" ref="Q83:S83" si="2">$O$83</f>
        <v>5</v>
      </c>
      <c r="R83" s="24">
        <f t="shared" si="2"/>
        <v>5</v>
      </c>
      <c r="S83" s="24">
        <f t="shared" si="2"/>
        <v>5</v>
      </c>
      <c r="T83" s="24">
        <f t="shared" ref="T83" si="3">T4</f>
        <v>6</v>
      </c>
      <c r="U83" s="24">
        <f>$T$83</f>
        <v>6</v>
      </c>
      <c r="V83" s="24">
        <f t="shared" ref="V83:X83" si="4">$T$83</f>
        <v>6</v>
      </c>
      <c r="W83" s="24">
        <f t="shared" si="4"/>
        <v>6</v>
      </c>
      <c r="X83" s="24">
        <f t="shared" si="4"/>
        <v>6</v>
      </c>
      <c r="Y83" s="24">
        <f t="shared" ref="Y83" si="5">Y4</f>
        <v>7</v>
      </c>
      <c r="Z83" s="24">
        <f>$Y$83</f>
        <v>7</v>
      </c>
      <c r="AA83" s="24">
        <f t="shared" ref="AA83:AC83" si="6">$Y$83</f>
        <v>7</v>
      </c>
      <c r="AB83" s="24">
        <f t="shared" si="6"/>
        <v>7</v>
      </c>
      <c r="AC83" s="24">
        <f t="shared" si="6"/>
        <v>7</v>
      </c>
      <c r="AD83" s="24">
        <f t="shared" ref="AD83" si="7">AD4</f>
        <v>8</v>
      </c>
      <c r="AE83" s="24">
        <f>$AD$83</f>
        <v>8</v>
      </c>
      <c r="AF83" s="24">
        <f t="shared" ref="AF83:AH83" si="8">$AD$83</f>
        <v>8</v>
      </c>
      <c r="AG83" s="24">
        <f t="shared" si="8"/>
        <v>8</v>
      </c>
      <c r="AH83" s="24">
        <f t="shared" si="8"/>
        <v>8</v>
      </c>
      <c r="AI83" s="24">
        <f t="shared" ref="AI83" si="9">AI4</f>
        <v>9</v>
      </c>
      <c r="AJ83" s="24">
        <f>$AI$83</f>
        <v>9</v>
      </c>
      <c r="AK83" s="24">
        <f t="shared" ref="AK83:AM83" si="10">$AI$83</f>
        <v>9</v>
      </c>
      <c r="AL83" s="24">
        <f t="shared" si="10"/>
        <v>9</v>
      </c>
      <c r="AM83" s="24">
        <f t="shared" si="10"/>
        <v>9</v>
      </c>
      <c r="AN83" s="24">
        <f t="shared" ref="AN83" si="11">AN4</f>
        <v>10</v>
      </c>
      <c r="AO83" s="24">
        <f>$AN$83</f>
        <v>10</v>
      </c>
      <c r="AP83" s="24">
        <f t="shared" ref="AP83:AR83" si="12">$AN$83</f>
        <v>10</v>
      </c>
      <c r="AQ83" s="24">
        <f t="shared" si="12"/>
        <v>10</v>
      </c>
      <c r="AR83" s="24">
        <f t="shared" si="12"/>
        <v>10</v>
      </c>
      <c r="AS83" s="24">
        <f t="shared" ref="AS83" si="13">AS4</f>
        <v>11</v>
      </c>
      <c r="AT83" s="24">
        <f>$AS$83</f>
        <v>11</v>
      </c>
      <c r="AU83" s="24">
        <f t="shared" ref="AU83:AW83" si="14">$AS$83</f>
        <v>11</v>
      </c>
      <c r="AV83" s="24">
        <f t="shared" si="14"/>
        <v>11</v>
      </c>
      <c r="AW83" s="24">
        <f t="shared" si="14"/>
        <v>11</v>
      </c>
      <c r="AX83" s="24">
        <f t="shared" ref="AX83" si="15">AX4</f>
        <v>12</v>
      </c>
      <c r="AY83" s="24">
        <f>$AX$83</f>
        <v>12</v>
      </c>
      <c r="AZ83" s="24">
        <f t="shared" ref="AZ83:BB83" si="16">$AX$83</f>
        <v>12</v>
      </c>
      <c r="BA83" s="24">
        <f t="shared" si="16"/>
        <v>12</v>
      </c>
      <c r="BB83" s="24">
        <f t="shared" si="16"/>
        <v>12</v>
      </c>
      <c r="BC83" s="24">
        <f>BC4+12</f>
        <v>13</v>
      </c>
      <c r="BD83" s="24">
        <f>$BC$83</f>
        <v>13</v>
      </c>
      <c r="BE83" s="24">
        <f t="shared" ref="BE83:BG83" si="17">$BC$83</f>
        <v>13</v>
      </c>
      <c r="BF83" s="24">
        <f t="shared" si="17"/>
        <v>13</v>
      </c>
      <c r="BG83" s="24">
        <f t="shared" si="17"/>
        <v>13</v>
      </c>
      <c r="BH83" s="24">
        <f>BH4+12</f>
        <v>14</v>
      </c>
      <c r="BI83" s="24">
        <f>$BH$83</f>
        <v>14</v>
      </c>
      <c r="BJ83" s="24">
        <f t="shared" ref="BJ83:BL83" si="18">$BH$83</f>
        <v>14</v>
      </c>
      <c r="BK83" s="24">
        <f t="shared" si="18"/>
        <v>14</v>
      </c>
      <c r="BL83" s="24">
        <f t="shared" si="18"/>
        <v>14</v>
      </c>
      <c r="BM83" s="24">
        <f>BM4+12</f>
        <v>15</v>
      </c>
      <c r="BN83" s="24">
        <f>$BM$83</f>
        <v>15</v>
      </c>
      <c r="BO83" s="24">
        <f t="shared" ref="BO83:BQ83" si="19">$BM$83</f>
        <v>15</v>
      </c>
      <c r="BP83" s="24">
        <f t="shared" si="19"/>
        <v>15</v>
      </c>
      <c r="BQ83" s="24">
        <f t="shared" si="19"/>
        <v>15</v>
      </c>
    </row>
  </sheetData>
  <mergeCells count="761">
    <mergeCell ref="G62:G64"/>
    <mergeCell ref="AD59:AH59"/>
    <mergeCell ref="AD62:AH62"/>
    <mergeCell ref="AS62:AW62"/>
    <mergeCell ref="AX62:BB62"/>
    <mergeCell ref="BH62:BL62"/>
    <mergeCell ref="BM62:BQ62"/>
    <mergeCell ref="J61:N61"/>
    <mergeCell ref="O61:S61"/>
    <mergeCell ref="T61:X61"/>
    <mergeCell ref="Y61:AC61"/>
    <mergeCell ref="AS61:AW61"/>
    <mergeCell ref="AX61:BB61"/>
    <mergeCell ref="BC61:BG61"/>
    <mergeCell ref="BH61:BL61"/>
    <mergeCell ref="BM61:BQ61"/>
    <mergeCell ref="BM46:BQ46"/>
    <mergeCell ref="BC52:BG52"/>
    <mergeCell ref="BH52:BL52"/>
    <mergeCell ref="BM52:BQ52"/>
    <mergeCell ref="BM49:BQ49"/>
    <mergeCell ref="BH58:BL58"/>
    <mergeCell ref="BM58:BQ58"/>
    <mergeCell ref="BM56:BQ56"/>
    <mergeCell ref="AS64:AW64"/>
    <mergeCell ref="AX64:BB64"/>
    <mergeCell ref="BC64:BG64"/>
    <mergeCell ref="BH64:BL64"/>
    <mergeCell ref="BM64:BQ64"/>
    <mergeCell ref="T49:X49"/>
    <mergeCell ref="Y49:AC49"/>
    <mergeCell ref="AI49:AM49"/>
    <mergeCell ref="AN49:AR49"/>
    <mergeCell ref="AS49:AW49"/>
    <mergeCell ref="AX49:BB49"/>
    <mergeCell ref="AD56:AH56"/>
    <mergeCell ref="AS56:AW56"/>
    <mergeCell ref="O56:S56"/>
    <mergeCell ref="B1:BT1"/>
    <mergeCell ref="BH3:BJ3"/>
    <mergeCell ref="BK3:BM3"/>
    <mergeCell ref="BN3:BO3"/>
    <mergeCell ref="BP3:BQ3"/>
    <mergeCell ref="D4:E4"/>
    <mergeCell ref="J4:N4"/>
    <mergeCell ref="O4:S4"/>
    <mergeCell ref="T4:X4"/>
    <mergeCell ref="Y4:AC4"/>
    <mergeCell ref="BH4:BL4"/>
    <mergeCell ref="BM4:BQ4"/>
    <mergeCell ref="AI4:AM4"/>
    <mergeCell ref="AN4:AR4"/>
    <mergeCell ref="AS4:AW4"/>
    <mergeCell ref="AX4:BB4"/>
    <mergeCell ref="BC4:BG4"/>
    <mergeCell ref="B5:B7"/>
    <mergeCell ref="C5:C7"/>
    <mergeCell ref="F5:F7"/>
    <mergeCell ref="G5:G7"/>
    <mergeCell ref="H5:H7"/>
    <mergeCell ref="J5:N5"/>
    <mergeCell ref="O5:S5"/>
    <mergeCell ref="T5:X5"/>
    <mergeCell ref="AD4:AH4"/>
    <mergeCell ref="BS5:BS7"/>
    <mergeCell ref="BT5:BT7"/>
    <mergeCell ref="J7:N7"/>
    <mergeCell ref="O7:S7"/>
    <mergeCell ref="T7:X7"/>
    <mergeCell ref="Y7:AC7"/>
    <mergeCell ref="AD7:AH7"/>
    <mergeCell ref="Y5:AC5"/>
    <mergeCell ref="AD5:AH5"/>
    <mergeCell ref="AI5:AM5"/>
    <mergeCell ref="AN5:AR5"/>
    <mergeCell ref="AS5:AW5"/>
    <mergeCell ref="AX5:BB5"/>
    <mergeCell ref="BM7:BQ7"/>
    <mergeCell ref="AI7:AM7"/>
    <mergeCell ref="AN7:AR7"/>
    <mergeCell ref="AS7:AW7"/>
    <mergeCell ref="AX7:BB7"/>
    <mergeCell ref="BC7:BG7"/>
    <mergeCell ref="BH7:BL7"/>
    <mergeCell ref="G53:G55"/>
    <mergeCell ref="H53:H55"/>
    <mergeCell ref="J53:N53"/>
    <mergeCell ref="O53:S53"/>
    <mergeCell ref="T53:X53"/>
    <mergeCell ref="Y53:AC53"/>
    <mergeCell ref="BC5:BG5"/>
    <mergeCell ref="BH5:BL5"/>
    <mergeCell ref="BM5:BQ5"/>
    <mergeCell ref="BC43:BG43"/>
    <mergeCell ref="BH43:BL43"/>
    <mergeCell ref="BM43:BQ43"/>
    <mergeCell ref="J40:N40"/>
    <mergeCell ref="O40:S40"/>
    <mergeCell ref="T40:X40"/>
    <mergeCell ref="Y40:AC40"/>
    <mergeCell ref="AI40:AM40"/>
    <mergeCell ref="AN40:AR40"/>
    <mergeCell ref="AS40:AW40"/>
    <mergeCell ref="AX40:BB40"/>
    <mergeCell ref="AN41:AR41"/>
    <mergeCell ref="AI41:AM41"/>
    <mergeCell ref="J49:N49"/>
    <mergeCell ref="O49:S49"/>
    <mergeCell ref="BT53:BT55"/>
    <mergeCell ref="J55:N55"/>
    <mergeCell ref="O55:S55"/>
    <mergeCell ref="T55:X55"/>
    <mergeCell ref="Y55:AC55"/>
    <mergeCell ref="AD55:AH55"/>
    <mergeCell ref="AI55:AM55"/>
    <mergeCell ref="AD53:AH53"/>
    <mergeCell ref="AI53:AM53"/>
    <mergeCell ref="AN53:AR53"/>
    <mergeCell ref="AS53:AW53"/>
    <mergeCell ref="AX53:BB53"/>
    <mergeCell ref="BC53:BG53"/>
    <mergeCell ref="AN55:AR55"/>
    <mergeCell ref="AS55:AW55"/>
    <mergeCell ref="AX55:BB55"/>
    <mergeCell ref="BC55:BG55"/>
    <mergeCell ref="BH55:BL55"/>
    <mergeCell ref="BM55:BQ55"/>
    <mergeCell ref="BH53:BL53"/>
    <mergeCell ref="BM53:BQ53"/>
    <mergeCell ref="BS53:BS55"/>
    <mergeCell ref="BH10:BL10"/>
    <mergeCell ref="BM10:BQ10"/>
    <mergeCell ref="O8:S8"/>
    <mergeCell ref="T8:X8"/>
    <mergeCell ref="Y8:AC8"/>
    <mergeCell ref="AD8:AH8"/>
    <mergeCell ref="AI8:AM8"/>
    <mergeCell ref="AN8:AR8"/>
    <mergeCell ref="B8:B10"/>
    <mergeCell ref="C8:C10"/>
    <mergeCell ref="F8:F10"/>
    <mergeCell ref="G8:G10"/>
    <mergeCell ref="H8:H10"/>
    <mergeCell ref="J8:N8"/>
    <mergeCell ref="AN11:AR11"/>
    <mergeCell ref="B11:B13"/>
    <mergeCell ref="C11:C13"/>
    <mergeCell ref="F11:F13"/>
    <mergeCell ref="G11:G13"/>
    <mergeCell ref="H11:H13"/>
    <mergeCell ref="BT8:BT10"/>
    <mergeCell ref="J10:N10"/>
    <mergeCell ref="O10:S10"/>
    <mergeCell ref="T10:X10"/>
    <mergeCell ref="Y10:AC10"/>
    <mergeCell ref="AD10:AH10"/>
    <mergeCell ref="AI10:AM10"/>
    <mergeCell ref="AN10:AR10"/>
    <mergeCell ref="AS10:AW10"/>
    <mergeCell ref="AX10:BB10"/>
    <mergeCell ref="AS8:AW8"/>
    <mergeCell ref="AX8:BB8"/>
    <mergeCell ref="BC8:BG8"/>
    <mergeCell ref="BH8:BL8"/>
    <mergeCell ref="BM8:BQ8"/>
    <mergeCell ref="BS8:BS10"/>
    <mergeCell ref="BC10:BG10"/>
    <mergeCell ref="BT11:BT13"/>
    <mergeCell ref="J11:N11"/>
    <mergeCell ref="O13:S13"/>
    <mergeCell ref="T13:X13"/>
    <mergeCell ref="Y13:AC13"/>
    <mergeCell ref="AD13:AH13"/>
    <mergeCell ref="AI13:AM13"/>
    <mergeCell ref="AN13:AR13"/>
    <mergeCell ref="AS13:AW13"/>
    <mergeCell ref="AX13:BB13"/>
    <mergeCell ref="AS11:AW11"/>
    <mergeCell ref="AX11:BB11"/>
    <mergeCell ref="BC11:BG11"/>
    <mergeCell ref="BH11:BL11"/>
    <mergeCell ref="BM11:BQ11"/>
    <mergeCell ref="BS11:BS13"/>
    <mergeCell ref="BC13:BG13"/>
    <mergeCell ref="BH13:BL13"/>
    <mergeCell ref="BM13:BQ13"/>
    <mergeCell ref="O11:S11"/>
    <mergeCell ref="T11:X11"/>
    <mergeCell ref="Y11:AC11"/>
    <mergeCell ref="AD11:AH11"/>
    <mergeCell ref="AI11:AM11"/>
    <mergeCell ref="BH16:BL16"/>
    <mergeCell ref="BM16:BQ16"/>
    <mergeCell ref="O14:S14"/>
    <mergeCell ref="T14:X14"/>
    <mergeCell ref="Y14:AC14"/>
    <mergeCell ref="AD14:AH14"/>
    <mergeCell ref="AI14:AM14"/>
    <mergeCell ref="AN14:AR14"/>
    <mergeCell ref="B14:B16"/>
    <mergeCell ref="C14:C16"/>
    <mergeCell ref="F14:F16"/>
    <mergeCell ref="G14:G16"/>
    <mergeCell ref="H14:H16"/>
    <mergeCell ref="J16:N16"/>
    <mergeCell ref="AN17:AR17"/>
    <mergeCell ref="B17:B19"/>
    <mergeCell ref="C17:C19"/>
    <mergeCell ref="F17:F19"/>
    <mergeCell ref="G17:G19"/>
    <mergeCell ref="H17:H19"/>
    <mergeCell ref="J17:N17"/>
    <mergeCell ref="BT14:BT16"/>
    <mergeCell ref="J14:N14"/>
    <mergeCell ref="O16:S16"/>
    <mergeCell ref="T16:X16"/>
    <mergeCell ref="Y16:AC16"/>
    <mergeCell ref="AD16:AH16"/>
    <mergeCell ref="AI16:AM16"/>
    <mergeCell ref="AN16:AR16"/>
    <mergeCell ref="AS16:AW16"/>
    <mergeCell ref="AX16:BB16"/>
    <mergeCell ref="AS14:AW14"/>
    <mergeCell ref="AX14:BB14"/>
    <mergeCell ref="BC14:BG14"/>
    <mergeCell ref="BH14:BL14"/>
    <mergeCell ref="BM14:BQ14"/>
    <mergeCell ref="BS14:BS16"/>
    <mergeCell ref="BC16:BG16"/>
    <mergeCell ref="BT17:BT19"/>
    <mergeCell ref="J19:N19"/>
    <mergeCell ref="O19:S19"/>
    <mergeCell ref="T19:X19"/>
    <mergeCell ref="Y19:AC19"/>
    <mergeCell ref="AD19:AH19"/>
    <mergeCell ref="AI19:AM19"/>
    <mergeCell ref="AN19:AR19"/>
    <mergeCell ref="AS19:AW19"/>
    <mergeCell ref="AX19:BB19"/>
    <mergeCell ref="AS17:AW17"/>
    <mergeCell ref="AX17:BB17"/>
    <mergeCell ref="BC17:BG17"/>
    <mergeCell ref="BH17:BL17"/>
    <mergeCell ref="BM17:BQ17"/>
    <mergeCell ref="BS17:BS19"/>
    <mergeCell ref="BC19:BG19"/>
    <mergeCell ref="BH19:BL19"/>
    <mergeCell ref="BM19:BQ19"/>
    <mergeCell ref="O17:S17"/>
    <mergeCell ref="T17:X17"/>
    <mergeCell ref="Y17:AC17"/>
    <mergeCell ref="AD17:AH17"/>
    <mergeCell ref="AI17:AM17"/>
    <mergeCell ref="BH22:BL22"/>
    <mergeCell ref="BM22:BQ22"/>
    <mergeCell ref="O20:S20"/>
    <mergeCell ref="T20:X20"/>
    <mergeCell ref="Y20:AC20"/>
    <mergeCell ref="AD20:AH20"/>
    <mergeCell ref="AI20:AM20"/>
    <mergeCell ref="AN20:AR20"/>
    <mergeCell ref="B20:B22"/>
    <mergeCell ref="C20:C22"/>
    <mergeCell ref="F20:F22"/>
    <mergeCell ref="G20:G22"/>
    <mergeCell ref="H20:H22"/>
    <mergeCell ref="AN23:AR23"/>
    <mergeCell ref="B23:B25"/>
    <mergeCell ref="C23:C25"/>
    <mergeCell ref="F23:F25"/>
    <mergeCell ref="G23:G25"/>
    <mergeCell ref="H23:H25"/>
    <mergeCell ref="BT20:BT22"/>
    <mergeCell ref="J20:N20"/>
    <mergeCell ref="O22:S22"/>
    <mergeCell ref="T22:X22"/>
    <mergeCell ref="Y22:AC22"/>
    <mergeCell ref="AD22:AH22"/>
    <mergeCell ref="AI22:AM22"/>
    <mergeCell ref="AN22:AR22"/>
    <mergeCell ref="AS22:AW22"/>
    <mergeCell ref="AX22:BB22"/>
    <mergeCell ref="AS20:AW20"/>
    <mergeCell ref="AX20:BB20"/>
    <mergeCell ref="BC20:BG20"/>
    <mergeCell ref="BH20:BL20"/>
    <mergeCell ref="BM20:BQ20"/>
    <mergeCell ref="BS20:BS22"/>
    <mergeCell ref="BC22:BG22"/>
    <mergeCell ref="BT23:BT25"/>
    <mergeCell ref="J23:N23"/>
    <mergeCell ref="O25:S25"/>
    <mergeCell ref="T25:X25"/>
    <mergeCell ref="Y25:AC25"/>
    <mergeCell ref="AD25:AH25"/>
    <mergeCell ref="AI25:AM25"/>
    <mergeCell ref="AN25:AR25"/>
    <mergeCell ref="AS25:AW25"/>
    <mergeCell ref="AX25:BB25"/>
    <mergeCell ref="AS23:AW23"/>
    <mergeCell ref="AX23:BB23"/>
    <mergeCell ref="BC23:BG23"/>
    <mergeCell ref="BH23:BL23"/>
    <mergeCell ref="BM23:BQ23"/>
    <mergeCell ref="BS23:BS25"/>
    <mergeCell ref="BC25:BG25"/>
    <mergeCell ref="BH25:BL25"/>
    <mergeCell ref="BM25:BQ25"/>
    <mergeCell ref="O23:S23"/>
    <mergeCell ref="T23:X23"/>
    <mergeCell ref="Y23:AC23"/>
    <mergeCell ref="AD23:AH23"/>
    <mergeCell ref="AI23:AM23"/>
    <mergeCell ref="BH28:BL28"/>
    <mergeCell ref="BM28:BQ28"/>
    <mergeCell ref="O26:S26"/>
    <mergeCell ref="T26:X26"/>
    <mergeCell ref="Y26:AC26"/>
    <mergeCell ref="AD26:AH26"/>
    <mergeCell ref="AI26:AM26"/>
    <mergeCell ref="AN26:AR26"/>
    <mergeCell ref="B26:B28"/>
    <mergeCell ref="C26:C28"/>
    <mergeCell ref="F26:F28"/>
    <mergeCell ref="G26:G28"/>
    <mergeCell ref="H26:H28"/>
    <mergeCell ref="J28:N28"/>
    <mergeCell ref="AN29:AR29"/>
    <mergeCell ref="B29:B31"/>
    <mergeCell ref="C29:C31"/>
    <mergeCell ref="F29:F31"/>
    <mergeCell ref="G29:G31"/>
    <mergeCell ref="H29:H31"/>
    <mergeCell ref="J29:N29"/>
    <mergeCell ref="BT26:BT28"/>
    <mergeCell ref="J26:N26"/>
    <mergeCell ref="O28:S28"/>
    <mergeCell ref="T28:X28"/>
    <mergeCell ref="Y28:AC28"/>
    <mergeCell ref="AD28:AH28"/>
    <mergeCell ref="AI28:AM28"/>
    <mergeCell ref="AN28:AR28"/>
    <mergeCell ref="AS28:AW28"/>
    <mergeCell ref="AX28:BB28"/>
    <mergeCell ref="AS26:AW26"/>
    <mergeCell ref="AX26:BB26"/>
    <mergeCell ref="BC26:BG26"/>
    <mergeCell ref="BH26:BL26"/>
    <mergeCell ref="BM26:BQ26"/>
    <mergeCell ref="BS26:BS28"/>
    <mergeCell ref="BC28:BG28"/>
    <mergeCell ref="BT29:BT31"/>
    <mergeCell ref="J31:N31"/>
    <mergeCell ref="O31:S31"/>
    <mergeCell ref="T31:X31"/>
    <mergeCell ref="Y31:AC31"/>
    <mergeCell ref="AD31:AH31"/>
    <mergeCell ref="AI31:AM31"/>
    <mergeCell ref="AN31:AR31"/>
    <mergeCell ref="AS31:AW31"/>
    <mergeCell ref="AX31:BB31"/>
    <mergeCell ref="AS29:AW29"/>
    <mergeCell ref="AX29:BB29"/>
    <mergeCell ref="BC29:BG29"/>
    <mergeCell ref="BH29:BL29"/>
    <mergeCell ref="BM29:BQ29"/>
    <mergeCell ref="BS29:BS31"/>
    <mergeCell ref="BC31:BG31"/>
    <mergeCell ref="BH31:BL31"/>
    <mergeCell ref="BM31:BQ31"/>
    <mergeCell ref="O29:S29"/>
    <mergeCell ref="T29:X29"/>
    <mergeCell ref="Y29:AC29"/>
    <mergeCell ref="AD29:AH29"/>
    <mergeCell ref="AI29:AM29"/>
    <mergeCell ref="BM34:BQ34"/>
    <mergeCell ref="O32:S32"/>
    <mergeCell ref="T32:X32"/>
    <mergeCell ref="Y32:AC32"/>
    <mergeCell ref="AD32:AH32"/>
    <mergeCell ref="AI32:AM32"/>
    <mergeCell ref="AN32:AR32"/>
    <mergeCell ref="B32:B34"/>
    <mergeCell ref="C32:C34"/>
    <mergeCell ref="F32:F34"/>
    <mergeCell ref="G32:G34"/>
    <mergeCell ref="H32:H34"/>
    <mergeCell ref="B35:B37"/>
    <mergeCell ref="C35:C37"/>
    <mergeCell ref="F35:F37"/>
    <mergeCell ref="G35:G37"/>
    <mergeCell ref="H35:H37"/>
    <mergeCell ref="BT32:BT34"/>
    <mergeCell ref="J32:N32"/>
    <mergeCell ref="O34:S34"/>
    <mergeCell ref="T34:X34"/>
    <mergeCell ref="Y34:AC34"/>
    <mergeCell ref="AD34:AH34"/>
    <mergeCell ref="AI34:AM34"/>
    <mergeCell ref="AN34:AR34"/>
    <mergeCell ref="AS34:AW34"/>
    <mergeCell ref="AX34:BB34"/>
    <mergeCell ref="AS32:AW32"/>
    <mergeCell ref="AX32:BB32"/>
    <mergeCell ref="BC32:BG32"/>
    <mergeCell ref="BH32:BL32"/>
    <mergeCell ref="BM32:BQ32"/>
    <mergeCell ref="BS32:BS34"/>
    <mergeCell ref="BC34:BG34"/>
    <mergeCell ref="BH34:BL34"/>
    <mergeCell ref="BT35:BT37"/>
    <mergeCell ref="J35:N35"/>
    <mergeCell ref="O37:S37"/>
    <mergeCell ref="T37:X37"/>
    <mergeCell ref="Y37:AC37"/>
    <mergeCell ref="AI37:AM37"/>
    <mergeCell ref="AN37:AR37"/>
    <mergeCell ref="AS37:AW37"/>
    <mergeCell ref="AX37:BB37"/>
    <mergeCell ref="AS35:AW35"/>
    <mergeCell ref="AX35:BB35"/>
    <mergeCell ref="BC35:BG35"/>
    <mergeCell ref="BH35:BL35"/>
    <mergeCell ref="BM35:BQ35"/>
    <mergeCell ref="BS35:BS37"/>
    <mergeCell ref="BC37:BG37"/>
    <mergeCell ref="BH37:BL37"/>
    <mergeCell ref="BM37:BQ37"/>
    <mergeCell ref="O35:S35"/>
    <mergeCell ref="T35:X35"/>
    <mergeCell ref="Y35:AC35"/>
    <mergeCell ref="AD35:AH35"/>
    <mergeCell ref="AI35:AM35"/>
    <mergeCell ref="AN35:AR35"/>
    <mergeCell ref="B44:B46"/>
    <mergeCell ref="C44:C46"/>
    <mergeCell ref="H44:H46"/>
    <mergeCell ref="BS44:BS46"/>
    <mergeCell ref="B47:B49"/>
    <mergeCell ref="C47:C49"/>
    <mergeCell ref="H47:H49"/>
    <mergeCell ref="BS47:BS49"/>
    <mergeCell ref="B38:B40"/>
    <mergeCell ref="C38:C40"/>
    <mergeCell ref="H38:H40"/>
    <mergeCell ref="BS38:BS40"/>
    <mergeCell ref="B41:B43"/>
    <mergeCell ref="C41:C43"/>
    <mergeCell ref="H41:H43"/>
    <mergeCell ref="BS41:BS43"/>
    <mergeCell ref="G41:G43"/>
    <mergeCell ref="F41:F43"/>
    <mergeCell ref="G44:G46"/>
    <mergeCell ref="F44:F46"/>
    <mergeCell ref="F47:F49"/>
    <mergeCell ref="G47:G49"/>
    <mergeCell ref="G38:G40"/>
    <mergeCell ref="F38:F40"/>
    <mergeCell ref="BS59:BS61"/>
    <mergeCell ref="B62:B64"/>
    <mergeCell ref="C62:C64"/>
    <mergeCell ref="H62:H64"/>
    <mergeCell ref="BS62:BS64"/>
    <mergeCell ref="B56:B58"/>
    <mergeCell ref="C56:C58"/>
    <mergeCell ref="H56:H58"/>
    <mergeCell ref="BS56:BS58"/>
    <mergeCell ref="J58:N58"/>
    <mergeCell ref="O58:S58"/>
    <mergeCell ref="T58:X58"/>
    <mergeCell ref="Y58:AC58"/>
    <mergeCell ref="AI58:AM58"/>
    <mergeCell ref="AN58:AR58"/>
    <mergeCell ref="AS58:AW58"/>
    <mergeCell ref="AX58:BB58"/>
    <mergeCell ref="BC58:BG58"/>
    <mergeCell ref="BC59:BG59"/>
    <mergeCell ref="BH59:BL59"/>
    <mergeCell ref="BM59:BQ59"/>
    <mergeCell ref="F59:F61"/>
    <mergeCell ref="G59:G61"/>
    <mergeCell ref="F62:F64"/>
    <mergeCell ref="B50:B52"/>
    <mergeCell ref="C50:C52"/>
    <mergeCell ref="H50:H52"/>
    <mergeCell ref="BS50:BS52"/>
    <mergeCell ref="G56:G58"/>
    <mergeCell ref="F56:F58"/>
    <mergeCell ref="G50:G52"/>
    <mergeCell ref="F50:F52"/>
    <mergeCell ref="J50:N50"/>
    <mergeCell ref="O52:S52"/>
    <mergeCell ref="T52:X52"/>
    <mergeCell ref="Y52:AC52"/>
    <mergeCell ref="AI52:AM52"/>
    <mergeCell ref="AN52:AR52"/>
    <mergeCell ref="AS52:AW52"/>
    <mergeCell ref="O50:S50"/>
    <mergeCell ref="BM50:BQ50"/>
    <mergeCell ref="T56:X56"/>
    <mergeCell ref="T50:X50"/>
    <mergeCell ref="Y56:AC56"/>
    <mergeCell ref="Y50:AC50"/>
    <mergeCell ref="B53:B55"/>
    <mergeCell ref="C53:C55"/>
    <mergeCell ref="F53:F55"/>
    <mergeCell ref="AN65:AR65"/>
    <mergeCell ref="B65:B67"/>
    <mergeCell ref="C65:C67"/>
    <mergeCell ref="F65:F67"/>
    <mergeCell ref="G65:G67"/>
    <mergeCell ref="H65:H67"/>
    <mergeCell ref="J65:N65"/>
    <mergeCell ref="B59:B61"/>
    <mergeCell ref="C59:C61"/>
    <mergeCell ref="H59:H61"/>
    <mergeCell ref="J64:N64"/>
    <mergeCell ref="O64:S64"/>
    <mergeCell ref="T64:X64"/>
    <mergeCell ref="Y64:AC64"/>
    <mergeCell ref="AD64:AH64"/>
    <mergeCell ref="AI64:AM64"/>
    <mergeCell ref="AN64:AR64"/>
    <mergeCell ref="T59:X59"/>
    <mergeCell ref="Y59:AC59"/>
    <mergeCell ref="AI59:AM59"/>
    <mergeCell ref="AI62:AM62"/>
    <mergeCell ref="AN62:AR62"/>
    <mergeCell ref="AI61:AM61"/>
    <mergeCell ref="AN61:AR61"/>
    <mergeCell ref="BT65:BT67"/>
    <mergeCell ref="J67:N67"/>
    <mergeCell ref="O67:S67"/>
    <mergeCell ref="T67:X67"/>
    <mergeCell ref="Y67:AC67"/>
    <mergeCell ref="AD67:AH67"/>
    <mergeCell ref="AI67:AM67"/>
    <mergeCell ref="AN67:AR67"/>
    <mergeCell ref="AS67:AW67"/>
    <mergeCell ref="AX67:BB67"/>
    <mergeCell ref="AS65:AW65"/>
    <mergeCell ref="AX65:BB65"/>
    <mergeCell ref="BC65:BG65"/>
    <mergeCell ref="BH65:BL65"/>
    <mergeCell ref="BM65:BQ65"/>
    <mergeCell ref="BS65:BS67"/>
    <mergeCell ref="BC67:BG67"/>
    <mergeCell ref="BH67:BL67"/>
    <mergeCell ref="BM67:BQ67"/>
    <mergeCell ref="O65:S65"/>
    <mergeCell ref="T65:X65"/>
    <mergeCell ref="Y65:AC65"/>
    <mergeCell ref="AD65:AH65"/>
    <mergeCell ref="AI65:AM65"/>
    <mergeCell ref="BH70:BL70"/>
    <mergeCell ref="BM70:BQ70"/>
    <mergeCell ref="O68:S68"/>
    <mergeCell ref="T68:X68"/>
    <mergeCell ref="Y68:AC68"/>
    <mergeCell ref="AD68:AH68"/>
    <mergeCell ref="AI68:AM68"/>
    <mergeCell ref="AN68:AR68"/>
    <mergeCell ref="B68:B70"/>
    <mergeCell ref="C68:C70"/>
    <mergeCell ref="F68:F70"/>
    <mergeCell ref="G68:G70"/>
    <mergeCell ref="H68:H70"/>
    <mergeCell ref="J68:N68"/>
    <mergeCell ref="AN71:AR71"/>
    <mergeCell ref="B71:B73"/>
    <mergeCell ref="C71:C73"/>
    <mergeCell ref="F71:F73"/>
    <mergeCell ref="G71:G73"/>
    <mergeCell ref="H71:H73"/>
    <mergeCell ref="J71:N71"/>
    <mergeCell ref="BT68:BT70"/>
    <mergeCell ref="J70:N70"/>
    <mergeCell ref="O70:S70"/>
    <mergeCell ref="T70:X70"/>
    <mergeCell ref="Y70:AC70"/>
    <mergeCell ref="AD70:AH70"/>
    <mergeCell ref="AI70:AM70"/>
    <mergeCell ref="AN70:AR70"/>
    <mergeCell ref="AS70:AW70"/>
    <mergeCell ref="AX70:BB70"/>
    <mergeCell ref="AS68:AW68"/>
    <mergeCell ref="AX68:BB68"/>
    <mergeCell ref="BC68:BG68"/>
    <mergeCell ref="BH68:BL68"/>
    <mergeCell ref="BM68:BQ68"/>
    <mergeCell ref="BS68:BS70"/>
    <mergeCell ref="BC70:BG70"/>
    <mergeCell ref="BT71:BT73"/>
    <mergeCell ref="J73:N73"/>
    <mergeCell ref="O73:S73"/>
    <mergeCell ref="T73:X73"/>
    <mergeCell ref="Y73:AC73"/>
    <mergeCell ref="AD73:AH73"/>
    <mergeCell ref="AI73:AM73"/>
    <mergeCell ref="AN73:AR73"/>
    <mergeCell ref="AS73:AW73"/>
    <mergeCell ref="AX73:BB73"/>
    <mergeCell ref="AS71:AW71"/>
    <mergeCell ref="AX71:BB71"/>
    <mergeCell ref="BC71:BG71"/>
    <mergeCell ref="BH71:BL71"/>
    <mergeCell ref="BM71:BQ71"/>
    <mergeCell ref="BS71:BS73"/>
    <mergeCell ref="BC73:BG73"/>
    <mergeCell ref="BH73:BL73"/>
    <mergeCell ref="BM73:BQ73"/>
    <mergeCell ref="O71:S71"/>
    <mergeCell ref="T71:X71"/>
    <mergeCell ref="Y71:AC71"/>
    <mergeCell ref="AD71:AH71"/>
    <mergeCell ref="AI71:AM71"/>
    <mergeCell ref="BH76:BL76"/>
    <mergeCell ref="BM76:BQ76"/>
    <mergeCell ref="O74:S74"/>
    <mergeCell ref="T74:X74"/>
    <mergeCell ref="Y74:AC74"/>
    <mergeCell ref="AD74:AH74"/>
    <mergeCell ref="AI74:AM74"/>
    <mergeCell ref="AN74:AR74"/>
    <mergeCell ref="B74:B76"/>
    <mergeCell ref="C74:C76"/>
    <mergeCell ref="F74:F76"/>
    <mergeCell ref="G74:G76"/>
    <mergeCell ref="H74:H76"/>
    <mergeCell ref="J74:N74"/>
    <mergeCell ref="AN77:AR77"/>
    <mergeCell ref="B77:B79"/>
    <mergeCell ref="C77:C79"/>
    <mergeCell ref="F77:F79"/>
    <mergeCell ref="G77:G79"/>
    <mergeCell ref="H77:H79"/>
    <mergeCell ref="J77:N77"/>
    <mergeCell ref="BT74:BT76"/>
    <mergeCell ref="J76:N76"/>
    <mergeCell ref="O76:S76"/>
    <mergeCell ref="T76:X76"/>
    <mergeCell ref="Y76:AC76"/>
    <mergeCell ref="AD76:AH76"/>
    <mergeCell ref="AI76:AM76"/>
    <mergeCell ref="AN76:AR76"/>
    <mergeCell ref="AS76:AW76"/>
    <mergeCell ref="AX76:BB76"/>
    <mergeCell ref="AS74:AW74"/>
    <mergeCell ref="AX74:BB74"/>
    <mergeCell ref="BC74:BG74"/>
    <mergeCell ref="BH74:BL74"/>
    <mergeCell ref="BM74:BQ74"/>
    <mergeCell ref="BS74:BS76"/>
    <mergeCell ref="BC76:BG76"/>
    <mergeCell ref="BT77:BT79"/>
    <mergeCell ref="J79:N79"/>
    <mergeCell ref="O79:S79"/>
    <mergeCell ref="T79:X79"/>
    <mergeCell ref="Y79:AC79"/>
    <mergeCell ref="AD79:AH79"/>
    <mergeCell ref="AI79:AM79"/>
    <mergeCell ref="AN79:AR79"/>
    <mergeCell ref="AS79:AW79"/>
    <mergeCell ref="AX79:BB79"/>
    <mergeCell ref="AS77:AW77"/>
    <mergeCell ref="AX77:BB77"/>
    <mergeCell ref="BC77:BG77"/>
    <mergeCell ref="BH77:BL77"/>
    <mergeCell ref="BM77:BQ77"/>
    <mergeCell ref="BS77:BS79"/>
    <mergeCell ref="BC79:BG79"/>
    <mergeCell ref="BH79:BL79"/>
    <mergeCell ref="BM79:BQ79"/>
    <mergeCell ref="O77:S77"/>
    <mergeCell ref="T77:X77"/>
    <mergeCell ref="Y77:AC77"/>
    <mergeCell ref="AD77:AH77"/>
    <mergeCell ref="AI77:AM77"/>
    <mergeCell ref="BM38:BQ38"/>
    <mergeCell ref="O41:S41"/>
    <mergeCell ref="BM41:BQ41"/>
    <mergeCell ref="O44:S44"/>
    <mergeCell ref="BM44:BQ44"/>
    <mergeCell ref="O47:S47"/>
    <mergeCell ref="BM47:BQ47"/>
    <mergeCell ref="Y38:AC38"/>
    <mergeCell ref="AI38:AM38"/>
    <mergeCell ref="AS38:AW38"/>
    <mergeCell ref="AS41:AW41"/>
    <mergeCell ref="AS44:AW44"/>
    <mergeCell ref="AS47:AW47"/>
    <mergeCell ref="BC38:BG38"/>
    <mergeCell ref="BH38:BL38"/>
    <mergeCell ref="BC41:BG41"/>
    <mergeCell ref="BH41:BL41"/>
    <mergeCell ref="BC44:BG44"/>
    <mergeCell ref="BH44:BL44"/>
    <mergeCell ref="BC47:BG47"/>
    <mergeCell ref="BH47:BL47"/>
    <mergeCell ref="BC40:BG40"/>
    <mergeCell ref="BH40:BL40"/>
    <mergeCell ref="BM40:BQ40"/>
    <mergeCell ref="J44:N44"/>
    <mergeCell ref="O46:S46"/>
    <mergeCell ref="J46:N46"/>
    <mergeCell ref="T46:X46"/>
    <mergeCell ref="T44:X44"/>
    <mergeCell ref="T47:X47"/>
    <mergeCell ref="Y44:AC44"/>
    <mergeCell ref="Y46:AC46"/>
    <mergeCell ref="Y47:AC47"/>
    <mergeCell ref="O38:S38"/>
    <mergeCell ref="J38:N38"/>
    <mergeCell ref="T38:X38"/>
    <mergeCell ref="J43:N43"/>
    <mergeCell ref="O43:S43"/>
    <mergeCell ref="T43:X43"/>
    <mergeCell ref="Y43:AC43"/>
    <mergeCell ref="AD43:AH43"/>
    <mergeCell ref="AI43:AM43"/>
    <mergeCell ref="T41:X41"/>
    <mergeCell ref="Y41:AC41"/>
    <mergeCell ref="AD41:AH41"/>
    <mergeCell ref="AD38:AH38"/>
    <mergeCell ref="J41:N41"/>
    <mergeCell ref="AD44:AH44"/>
    <mergeCell ref="AD47:AH47"/>
    <mergeCell ref="BC56:BG56"/>
    <mergeCell ref="BH56:BL56"/>
    <mergeCell ref="BC50:BG50"/>
    <mergeCell ref="BH50:BL50"/>
    <mergeCell ref="AD50:AH50"/>
    <mergeCell ref="AI56:AM56"/>
    <mergeCell ref="AI50:AM50"/>
    <mergeCell ref="BC49:BG49"/>
    <mergeCell ref="BH49:BL49"/>
    <mergeCell ref="AI44:AM44"/>
    <mergeCell ref="AI46:AM46"/>
    <mergeCell ref="AI47:AM47"/>
    <mergeCell ref="BH46:BL46"/>
    <mergeCell ref="AN38:AR38"/>
    <mergeCell ref="AS50:AW50"/>
    <mergeCell ref="AS59:AW59"/>
    <mergeCell ref="AX38:BB38"/>
    <mergeCell ref="AX41:BB41"/>
    <mergeCell ref="AX44:BB44"/>
    <mergeCell ref="AX47:BB47"/>
    <mergeCell ref="AX56:BB56"/>
    <mergeCell ref="AX50:BB50"/>
    <mergeCell ref="AX59:BB59"/>
    <mergeCell ref="AN44:AR44"/>
    <mergeCell ref="AN47:AR47"/>
    <mergeCell ref="AN56:AR56"/>
    <mergeCell ref="AN50:AR50"/>
    <mergeCell ref="AN59:AR59"/>
    <mergeCell ref="AN43:AR43"/>
    <mergeCell ref="AS43:AW43"/>
    <mergeCell ref="AX43:BB43"/>
    <mergeCell ref="AX52:BB52"/>
    <mergeCell ref="AN46:AR46"/>
    <mergeCell ref="AS46:AW46"/>
  </mergeCells>
  <phoneticPr fontId="1"/>
  <dataValidations count="1">
    <dataValidation type="list" allowBlank="1" showInputMessage="1" showErrorMessage="1" sqref="BY6 BY9">
      <formula1>$CA$6:$CA$17</formula1>
    </dataValidation>
  </dataValidations>
  <pageMargins left="0.47244094488188981" right="0.11811023622047245" top="0.6692913385826772" bottom="0.43307086614173229" header="0.35433070866141736" footer="0.23622047244094491"/>
  <pageSetup paperSize="8" scale="66"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ボタン4_Click">
                <anchor moveWithCells="1" sizeWithCells="1">
                  <from>
                    <xdr:col>77</xdr:col>
                    <xdr:colOff>200025</xdr:colOff>
                    <xdr:row>5</xdr:row>
                    <xdr:rowOff>0</xdr:rowOff>
                  </from>
                  <to>
                    <xdr:col>78</xdr:col>
                    <xdr:colOff>38100</xdr:colOff>
                    <xdr:row>6</xdr:row>
                    <xdr:rowOff>66675</xdr:rowOff>
                  </to>
                </anchor>
              </controlPr>
            </control>
          </mc:Choice>
        </mc:AlternateContent>
        <mc:AlternateContent xmlns:mc="http://schemas.openxmlformats.org/markup-compatibility/2006">
          <mc:Choice Requires="x14">
            <control shapeId="1030" r:id="rId5" name="Button 6">
              <controlPr defaultSize="0" print="0" autoFill="0" autoPict="0" macro="[0]!ボタン6_Click">
                <anchor moveWithCells="1" sizeWithCells="1">
                  <from>
                    <xdr:col>77</xdr:col>
                    <xdr:colOff>190500</xdr:colOff>
                    <xdr:row>7</xdr:row>
                    <xdr:rowOff>114300</xdr:rowOff>
                  </from>
                  <to>
                    <xdr:col>78</xdr:col>
                    <xdr:colOff>533400</xdr:colOff>
                    <xdr:row>9</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Z62"/>
  <sheetViews>
    <sheetView showGridLines="0" topLeftCell="J1" zoomScale="50" zoomScaleNormal="50" workbookViewId="0">
      <selection activeCell="O4" sqref="O4:S4"/>
    </sheetView>
  </sheetViews>
  <sheetFormatPr defaultRowHeight="13.5"/>
  <cols>
    <col min="1" max="1" width="0.625" customWidth="1"/>
    <col min="2" max="3" width="9.875" customWidth="1"/>
    <col min="4" max="4" width="3.625" customWidth="1"/>
    <col min="5" max="5" width="5.375" customWidth="1"/>
    <col min="6" max="8" width="6.375" style="6" customWidth="1"/>
    <col min="9" max="9" width="5.25" bestFit="1" customWidth="1"/>
    <col min="10" max="69" width="4" style="24" customWidth="1"/>
    <col min="70" max="71" width="5.875" customWidth="1"/>
    <col min="72" max="72" width="5.875" style="6" customWidth="1"/>
    <col min="73" max="73" width="0.75" customWidth="1"/>
    <col min="74" max="74" width="10.375" bestFit="1" customWidth="1"/>
    <col min="77" max="77" width="11.625" bestFit="1" customWidth="1"/>
  </cols>
  <sheetData>
    <row r="1" spans="1:78" ht="21">
      <c r="B1" s="134" t="s">
        <v>0</v>
      </c>
      <c r="C1" s="134"/>
      <c r="D1" s="134"/>
      <c r="E1" s="134"/>
      <c r="F1" s="134"/>
      <c r="G1" s="134"/>
      <c r="H1" s="134"/>
      <c r="I1" s="134"/>
      <c r="J1" s="134"/>
      <c r="K1" s="134"/>
      <c r="L1" s="134"/>
      <c r="M1" s="134"/>
      <c r="N1" s="134"/>
      <c r="O1" s="134"/>
      <c r="P1" s="134"/>
      <c r="Q1" s="134"/>
      <c r="R1" s="134"/>
      <c r="S1" s="134"/>
      <c r="T1" s="134"/>
      <c r="U1" s="134"/>
      <c r="V1" s="134"/>
      <c r="W1" s="134"/>
      <c r="X1" s="134"/>
      <c r="Y1" s="134"/>
      <c r="Z1" s="134"/>
      <c r="AA1" s="134"/>
      <c r="AB1" s="134"/>
      <c r="AC1" s="134"/>
      <c r="AD1" s="134"/>
      <c r="AE1" s="134"/>
      <c r="AF1" s="134"/>
      <c r="AG1" s="134"/>
      <c r="AH1" s="134"/>
      <c r="AI1" s="134"/>
      <c r="AJ1" s="134"/>
      <c r="AK1" s="134"/>
      <c r="AL1" s="134"/>
      <c r="AM1" s="134"/>
      <c r="AN1" s="134"/>
      <c r="AO1" s="134"/>
      <c r="AP1" s="134"/>
      <c r="AQ1" s="134"/>
      <c r="AR1" s="134"/>
      <c r="AS1" s="134"/>
      <c r="AT1" s="134"/>
      <c r="AU1" s="134"/>
      <c r="AV1" s="134"/>
      <c r="AW1" s="134"/>
      <c r="AX1" s="134"/>
      <c r="AY1" s="134"/>
      <c r="AZ1" s="134"/>
      <c r="BA1" s="134"/>
      <c r="BB1" s="134"/>
      <c r="BC1" s="134"/>
      <c r="BD1" s="134"/>
      <c r="BE1" s="134"/>
      <c r="BF1" s="134"/>
      <c r="BG1" s="134"/>
      <c r="BH1" s="134"/>
      <c r="BI1" s="134"/>
      <c r="BJ1" s="134"/>
      <c r="BK1" s="134"/>
      <c r="BL1" s="134"/>
      <c r="BM1" s="134"/>
      <c r="BN1" s="134"/>
      <c r="BO1" s="134"/>
      <c r="BP1" s="134"/>
      <c r="BQ1" s="134"/>
      <c r="BR1" s="134"/>
      <c r="BS1" s="134"/>
      <c r="BT1" s="134"/>
      <c r="BU1" s="2"/>
      <c r="BV1" s="21">
        <v>43556</v>
      </c>
      <c r="BW1" t="s">
        <v>1</v>
      </c>
      <c r="BY1" s="25">
        <f ca="1">TODAY()</f>
        <v>44309</v>
      </c>
      <c r="BZ1" s="10" t="s">
        <v>2</v>
      </c>
    </row>
    <row r="2" spans="1:78">
      <c r="A2" s="2"/>
      <c r="B2" s="4"/>
      <c r="C2" s="4"/>
      <c r="D2" s="3"/>
      <c r="E2" s="2"/>
      <c r="F2" s="5"/>
      <c r="G2" s="5"/>
      <c r="H2" s="5"/>
      <c r="I2" s="2"/>
      <c r="J2" s="29"/>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c r="BA2" s="29"/>
      <c r="BB2" s="29"/>
      <c r="BC2" s="29"/>
      <c r="BD2" s="29"/>
      <c r="BE2" s="29"/>
      <c r="BF2" s="29"/>
      <c r="BG2" s="29"/>
      <c r="BH2" s="29"/>
      <c r="BI2" s="29"/>
      <c r="BJ2" s="29"/>
      <c r="BK2" s="29"/>
      <c r="BL2" s="29"/>
      <c r="BM2" s="29"/>
      <c r="BN2" s="29"/>
      <c r="BO2" s="29"/>
      <c r="BP2" s="29"/>
      <c r="BQ2" s="29"/>
      <c r="BS2" s="2"/>
      <c r="BT2" s="5"/>
      <c r="BU2" s="2"/>
      <c r="BY2" s="10">
        <f ca="1">YEAR(BY1)</f>
        <v>2021</v>
      </c>
      <c r="BZ2" s="10" t="s">
        <v>3</v>
      </c>
    </row>
    <row r="3" spans="1:78">
      <c r="A3" s="2"/>
      <c r="B3" s="2"/>
      <c r="C3" s="2"/>
      <c r="D3" s="2"/>
      <c r="E3" s="2"/>
      <c r="F3" s="5"/>
      <c r="G3" s="5"/>
      <c r="H3" s="5"/>
      <c r="I3" s="2"/>
      <c r="J3" s="29"/>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c r="AL3" s="29"/>
      <c r="AM3" s="29"/>
      <c r="AN3" s="29"/>
      <c r="AO3" s="29"/>
      <c r="AP3" s="29"/>
      <c r="AQ3" s="29"/>
      <c r="AR3" s="29"/>
      <c r="AS3" s="29"/>
      <c r="AT3" s="29"/>
      <c r="AU3" s="29"/>
      <c r="AV3" s="29"/>
      <c r="AW3" s="29"/>
      <c r="AX3" s="29"/>
      <c r="AY3" s="29"/>
      <c r="AZ3" s="29"/>
      <c r="BA3" s="29"/>
      <c r="BB3" s="29"/>
      <c r="BC3" s="29"/>
      <c r="BH3" s="135" t="s">
        <v>4</v>
      </c>
      <c r="BI3" s="135"/>
      <c r="BJ3" s="135"/>
      <c r="BK3" s="136" t="str">
        <f ca="1">BY2&amp;"年"</f>
        <v>2021年</v>
      </c>
      <c r="BL3" s="136"/>
      <c r="BM3" s="136"/>
      <c r="BN3" s="135" t="str">
        <f ca="1">BY3&amp;"月"</f>
        <v>4月</v>
      </c>
      <c r="BO3" s="135"/>
      <c r="BP3" s="135" t="str">
        <f ca="1">BY4&amp;"日"</f>
        <v>23日</v>
      </c>
      <c r="BQ3" s="135"/>
      <c r="BU3" s="2"/>
      <c r="BY3" s="26">
        <f ca="1">MONTH(BY1)</f>
        <v>4</v>
      </c>
      <c r="BZ3" s="10" t="s">
        <v>5</v>
      </c>
    </row>
    <row r="4" spans="1:78" ht="29.25" customHeight="1">
      <c r="A4" s="2"/>
      <c r="B4" s="7" t="s">
        <v>6</v>
      </c>
      <c r="C4" s="11" t="s">
        <v>7</v>
      </c>
      <c r="D4" s="137" t="s">
        <v>8</v>
      </c>
      <c r="E4" s="138"/>
      <c r="F4" s="8" t="s">
        <v>9</v>
      </c>
      <c r="G4" s="8" t="s">
        <v>10</v>
      </c>
      <c r="H4" s="81" t="s">
        <v>11</v>
      </c>
      <c r="I4" s="7" t="s">
        <v>12</v>
      </c>
      <c r="J4" s="141">
        <v>4</v>
      </c>
      <c r="K4" s="142"/>
      <c r="L4" s="142"/>
      <c r="M4" s="142"/>
      <c r="N4" s="143"/>
      <c r="O4" s="141">
        <v>5</v>
      </c>
      <c r="P4" s="142"/>
      <c r="Q4" s="142"/>
      <c r="R4" s="142"/>
      <c r="S4" s="143"/>
      <c r="T4" s="131">
        <v>6</v>
      </c>
      <c r="U4" s="132"/>
      <c r="V4" s="132"/>
      <c r="W4" s="132"/>
      <c r="X4" s="133"/>
      <c r="Y4" s="131">
        <v>7</v>
      </c>
      <c r="Z4" s="132"/>
      <c r="AA4" s="132"/>
      <c r="AB4" s="132"/>
      <c r="AC4" s="133"/>
      <c r="AD4" s="131">
        <v>8</v>
      </c>
      <c r="AE4" s="132"/>
      <c r="AF4" s="132"/>
      <c r="AG4" s="132"/>
      <c r="AH4" s="133"/>
      <c r="AI4" s="131">
        <v>9</v>
      </c>
      <c r="AJ4" s="132"/>
      <c r="AK4" s="132"/>
      <c r="AL4" s="132"/>
      <c r="AM4" s="133"/>
      <c r="AN4" s="131">
        <v>10</v>
      </c>
      <c r="AO4" s="132"/>
      <c r="AP4" s="132"/>
      <c r="AQ4" s="132"/>
      <c r="AR4" s="133"/>
      <c r="AS4" s="131">
        <v>11</v>
      </c>
      <c r="AT4" s="132"/>
      <c r="AU4" s="132"/>
      <c r="AV4" s="132"/>
      <c r="AW4" s="133"/>
      <c r="AX4" s="131">
        <v>12</v>
      </c>
      <c r="AY4" s="132"/>
      <c r="AZ4" s="132"/>
      <c r="BA4" s="132"/>
      <c r="BB4" s="133"/>
      <c r="BC4" s="131">
        <v>1</v>
      </c>
      <c r="BD4" s="132"/>
      <c r="BE4" s="132"/>
      <c r="BF4" s="132"/>
      <c r="BG4" s="133"/>
      <c r="BH4" s="131">
        <v>2</v>
      </c>
      <c r="BI4" s="132"/>
      <c r="BJ4" s="132"/>
      <c r="BK4" s="132"/>
      <c r="BL4" s="133"/>
      <c r="BM4" s="131">
        <v>3</v>
      </c>
      <c r="BN4" s="132"/>
      <c r="BO4" s="132"/>
      <c r="BP4" s="132"/>
      <c r="BQ4" s="133"/>
      <c r="BR4" s="7" t="s">
        <v>13</v>
      </c>
      <c r="BS4" s="7" t="s">
        <v>14</v>
      </c>
      <c r="BT4" s="9" t="s">
        <v>15</v>
      </c>
      <c r="BU4" s="2"/>
      <c r="BV4" s="23" t="s">
        <v>16</v>
      </c>
      <c r="BW4" s="60" t="s">
        <v>17</v>
      </c>
      <c r="BX4" s="6" t="s">
        <v>18</v>
      </c>
      <c r="BY4" s="26">
        <f ca="1">DAY(BY1)</f>
        <v>23</v>
      </c>
      <c r="BZ4" s="10" t="s">
        <v>19</v>
      </c>
    </row>
    <row r="5" spans="1:78">
      <c r="A5" s="2"/>
      <c r="B5" s="107" t="s">
        <v>56</v>
      </c>
      <c r="C5" s="107" t="s">
        <v>57</v>
      </c>
      <c r="D5" s="44">
        <f>IF(BV5&gt;0,DATEDIF(BV5,$BV$1,"Y"),"")</f>
        <v>30</v>
      </c>
      <c r="E5" s="18" t="s">
        <v>3</v>
      </c>
      <c r="F5" s="110">
        <v>20</v>
      </c>
      <c r="G5" s="110">
        <v>20</v>
      </c>
      <c r="H5" s="113">
        <f>SUM(F5:G7)</f>
        <v>40</v>
      </c>
      <c r="I5" s="19" t="s">
        <v>22</v>
      </c>
      <c r="J5" s="90"/>
      <c r="K5" s="91"/>
      <c r="L5" s="91"/>
      <c r="M5" s="91"/>
      <c r="N5" s="92"/>
      <c r="O5" s="90"/>
      <c r="P5" s="91"/>
      <c r="Q5" s="91"/>
      <c r="R5" s="91"/>
      <c r="S5" s="92"/>
      <c r="T5" s="84"/>
      <c r="U5" s="85"/>
      <c r="V5" s="85"/>
      <c r="W5" s="85"/>
      <c r="X5" s="86"/>
      <c r="Y5" s="84"/>
      <c r="Z5" s="85"/>
      <c r="AA5" s="85"/>
      <c r="AB5" s="85"/>
      <c r="AC5" s="86"/>
      <c r="AD5" s="84"/>
      <c r="AE5" s="85"/>
      <c r="AF5" s="85"/>
      <c r="AG5" s="85"/>
      <c r="AH5" s="86"/>
      <c r="AI5" s="84"/>
      <c r="AJ5" s="85"/>
      <c r="AK5" s="85"/>
      <c r="AL5" s="85"/>
      <c r="AM5" s="86"/>
      <c r="AN5" s="84"/>
      <c r="AO5" s="85"/>
      <c r="AP5" s="85"/>
      <c r="AQ5" s="85"/>
      <c r="AR5" s="86"/>
      <c r="AS5" s="84"/>
      <c r="AT5" s="85"/>
      <c r="AU5" s="85"/>
      <c r="AV5" s="85"/>
      <c r="AW5" s="86"/>
      <c r="AX5" s="84"/>
      <c r="AY5" s="85"/>
      <c r="AZ5" s="85"/>
      <c r="BA5" s="85"/>
      <c r="BB5" s="86"/>
      <c r="BC5" s="84"/>
      <c r="BD5" s="85"/>
      <c r="BE5" s="85"/>
      <c r="BF5" s="85"/>
      <c r="BG5" s="86"/>
      <c r="BH5" s="84"/>
      <c r="BI5" s="85"/>
      <c r="BJ5" s="85"/>
      <c r="BK5" s="85"/>
      <c r="BL5" s="86"/>
      <c r="BM5" s="84"/>
      <c r="BN5" s="85"/>
      <c r="BO5" s="85"/>
      <c r="BP5" s="85"/>
      <c r="BQ5" s="86"/>
      <c r="BR5" s="46" t="str">
        <f>IF(SUM(J5:BQ5)&gt;0,SUM(J5:BQ5),"")</f>
        <v/>
      </c>
      <c r="BS5" s="113">
        <f>H5-SUM(J7:BQ7)</f>
        <v>35</v>
      </c>
      <c r="BT5" s="98"/>
      <c r="BU5" s="2"/>
      <c r="BV5" s="21">
        <v>32599</v>
      </c>
    </row>
    <row r="6" spans="1:78">
      <c r="A6" s="2"/>
      <c r="B6" s="108"/>
      <c r="C6" s="108"/>
      <c r="D6" s="55"/>
      <c r="E6" s="27"/>
      <c r="F6" s="111"/>
      <c r="G6" s="111"/>
      <c r="H6" s="114"/>
      <c r="I6" s="28"/>
      <c r="J6" s="51"/>
      <c r="K6" s="51"/>
      <c r="L6" s="51"/>
      <c r="M6" s="51"/>
      <c r="N6" s="51"/>
      <c r="O6" s="51"/>
      <c r="P6" s="51"/>
      <c r="Q6" s="51"/>
      <c r="R6" s="51"/>
      <c r="S6" s="51"/>
      <c r="T6" s="52">
        <v>27</v>
      </c>
      <c r="U6" s="52"/>
      <c r="V6" s="52"/>
      <c r="W6" s="52"/>
      <c r="X6" s="52"/>
      <c r="Y6" s="52"/>
      <c r="Z6" s="52"/>
      <c r="AA6" s="52"/>
      <c r="AB6" s="52"/>
      <c r="AC6" s="52"/>
      <c r="AD6" s="52"/>
      <c r="AE6" s="52"/>
      <c r="AF6" s="52"/>
      <c r="AG6" s="52"/>
      <c r="AH6" s="52"/>
      <c r="AI6" s="52">
        <v>11</v>
      </c>
      <c r="AJ6" s="52"/>
      <c r="AK6" s="52"/>
      <c r="AL6" s="52"/>
      <c r="AM6" s="52"/>
      <c r="AN6" s="52" t="s">
        <v>58</v>
      </c>
      <c r="AO6" s="52"/>
      <c r="AP6" s="52"/>
      <c r="AQ6" s="52"/>
      <c r="AR6" s="52"/>
      <c r="AS6" s="52"/>
      <c r="AT6" s="52"/>
      <c r="AU6" s="52"/>
      <c r="AV6" s="52"/>
      <c r="AW6" s="52"/>
      <c r="AX6" s="52" t="s">
        <v>59</v>
      </c>
      <c r="AY6" s="52" t="s">
        <v>60</v>
      </c>
      <c r="AZ6" s="52" t="s">
        <v>61</v>
      </c>
      <c r="BA6" s="52"/>
      <c r="BB6" s="52"/>
      <c r="BC6" s="52"/>
      <c r="BD6" s="52"/>
      <c r="BE6" s="52"/>
      <c r="BF6" s="52"/>
      <c r="BG6" s="52"/>
      <c r="BH6" s="52"/>
      <c r="BI6" s="52"/>
      <c r="BJ6" s="52"/>
      <c r="BK6" s="52"/>
      <c r="BL6" s="52"/>
      <c r="BM6" s="52">
        <v>6</v>
      </c>
      <c r="BN6" s="52"/>
      <c r="BO6" s="52"/>
      <c r="BP6" s="52"/>
      <c r="BQ6" s="52"/>
      <c r="BR6" s="56"/>
      <c r="BS6" s="114"/>
      <c r="BT6" s="99"/>
      <c r="BU6" s="2"/>
      <c r="BV6" s="21"/>
    </row>
    <row r="7" spans="1:78">
      <c r="A7" s="2"/>
      <c r="B7" s="109"/>
      <c r="C7" s="109"/>
      <c r="D7" s="45">
        <f>IF(BV5&gt;0,DATEDIF(BV5,$BV$1,"YM"),"")</f>
        <v>0</v>
      </c>
      <c r="E7" s="1" t="s">
        <v>23</v>
      </c>
      <c r="F7" s="112"/>
      <c r="G7" s="112"/>
      <c r="H7" s="115"/>
      <c r="I7" s="20" t="s">
        <v>24</v>
      </c>
      <c r="J7" s="93"/>
      <c r="K7" s="94"/>
      <c r="L7" s="94"/>
      <c r="M7" s="94"/>
      <c r="N7" s="95"/>
      <c r="O7" s="93"/>
      <c r="P7" s="94"/>
      <c r="Q7" s="94"/>
      <c r="R7" s="94"/>
      <c r="S7" s="95"/>
      <c r="T7" s="87">
        <v>1</v>
      </c>
      <c r="U7" s="88"/>
      <c r="V7" s="88"/>
      <c r="W7" s="88"/>
      <c r="X7" s="89"/>
      <c r="Y7" s="87"/>
      <c r="Z7" s="88"/>
      <c r="AA7" s="88"/>
      <c r="AB7" s="88"/>
      <c r="AC7" s="89"/>
      <c r="AD7" s="87"/>
      <c r="AE7" s="88"/>
      <c r="AF7" s="88"/>
      <c r="AG7" s="88"/>
      <c r="AH7" s="89"/>
      <c r="AI7" s="87">
        <v>1</v>
      </c>
      <c r="AJ7" s="88"/>
      <c r="AK7" s="88"/>
      <c r="AL7" s="88"/>
      <c r="AM7" s="89"/>
      <c r="AN7" s="87">
        <v>0.5</v>
      </c>
      <c r="AO7" s="88"/>
      <c r="AP7" s="88"/>
      <c r="AQ7" s="88"/>
      <c r="AR7" s="89"/>
      <c r="AS7" s="87"/>
      <c r="AT7" s="88"/>
      <c r="AU7" s="88"/>
      <c r="AV7" s="88"/>
      <c r="AW7" s="89"/>
      <c r="AX7" s="87">
        <v>1.5</v>
      </c>
      <c r="AY7" s="88"/>
      <c r="AZ7" s="88"/>
      <c r="BA7" s="88"/>
      <c r="BB7" s="89"/>
      <c r="BC7" s="87"/>
      <c r="BD7" s="88"/>
      <c r="BE7" s="88"/>
      <c r="BF7" s="88"/>
      <c r="BG7" s="89"/>
      <c r="BH7" s="87"/>
      <c r="BI7" s="88"/>
      <c r="BJ7" s="88"/>
      <c r="BK7" s="88"/>
      <c r="BL7" s="89"/>
      <c r="BM7" s="87">
        <v>1</v>
      </c>
      <c r="BN7" s="88"/>
      <c r="BO7" s="88"/>
      <c r="BP7" s="88"/>
      <c r="BQ7" s="89"/>
      <c r="BR7" s="47">
        <f>IF(SUM(J7:BQ7)&gt;0,SUM(J7:BQ7),"")</f>
        <v>5</v>
      </c>
      <c r="BS7" s="115"/>
      <c r="BT7" s="100"/>
      <c r="BU7" s="2"/>
      <c r="BV7" s="57" t="str">
        <f>IF(ISBLANK(BV5),"",DATEDIF(BV5,$BV$1,"Y")&amp;"年"&amp;DATEDIF(BV5,$BV$1,"YM")&amp;"ヶ月")</f>
        <v>30年0ヶ月</v>
      </c>
      <c r="BW7">
        <f>IF(BR5="",BR7,BR5+BR7)</f>
        <v>5</v>
      </c>
      <c r="BX7">
        <f>H5-BW7</f>
        <v>35</v>
      </c>
    </row>
    <row r="8" spans="1:78">
      <c r="A8" s="2"/>
      <c r="B8" s="104" t="s">
        <v>62</v>
      </c>
      <c r="C8" s="107" t="s">
        <v>63</v>
      </c>
      <c r="D8" s="44">
        <f>IF(BV8&gt;0,DATEDIF(BV8,$BV$1,"Y"),"")</f>
        <v>40</v>
      </c>
      <c r="E8" s="18" t="s">
        <v>3</v>
      </c>
      <c r="F8" s="110">
        <v>20</v>
      </c>
      <c r="G8" s="110">
        <v>20</v>
      </c>
      <c r="H8" s="113">
        <f>SUM(F8:G10)</f>
        <v>40</v>
      </c>
      <c r="I8" s="19" t="s">
        <v>22</v>
      </c>
      <c r="J8" s="90"/>
      <c r="K8" s="91"/>
      <c r="L8" s="91"/>
      <c r="M8" s="91"/>
      <c r="N8" s="92"/>
      <c r="O8" s="90"/>
      <c r="P8" s="91"/>
      <c r="Q8" s="91"/>
      <c r="R8" s="91"/>
      <c r="S8" s="92"/>
      <c r="T8" s="84"/>
      <c r="U8" s="85"/>
      <c r="V8" s="85"/>
      <c r="W8" s="85"/>
      <c r="X8" s="86"/>
      <c r="Y8" s="84"/>
      <c r="Z8" s="85"/>
      <c r="AA8" s="85"/>
      <c r="AB8" s="85"/>
      <c r="AC8" s="86"/>
      <c r="AD8" s="84"/>
      <c r="AE8" s="85"/>
      <c r="AF8" s="85"/>
      <c r="AG8" s="85"/>
      <c r="AH8" s="86"/>
      <c r="AI8" s="84"/>
      <c r="AJ8" s="85"/>
      <c r="AK8" s="85"/>
      <c r="AL8" s="85"/>
      <c r="AM8" s="86"/>
      <c r="AN8" s="84"/>
      <c r="AO8" s="85"/>
      <c r="AP8" s="85"/>
      <c r="AQ8" s="85"/>
      <c r="AR8" s="86"/>
      <c r="AS8" s="84"/>
      <c r="AT8" s="85"/>
      <c r="AU8" s="85"/>
      <c r="AV8" s="85"/>
      <c r="AW8" s="86"/>
      <c r="AX8" s="84"/>
      <c r="AY8" s="85"/>
      <c r="AZ8" s="85"/>
      <c r="BA8" s="85"/>
      <c r="BB8" s="86"/>
      <c r="BC8" s="84">
        <v>1</v>
      </c>
      <c r="BD8" s="85"/>
      <c r="BE8" s="85"/>
      <c r="BF8" s="85"/>
      <c r="BG8" s="86"/>
      <c r="BH8" s="84"/>
      <c r="BI8" s="85"/>
      <c r="BJ8" s="85"/>
      <c r="BK8" s="85"/>
      <c r="BL8" s="86"/>
      <c r="BM8" s="84">
        <v>3</v>
      </c>
      <c r="BN8" s="85"/>
      <c r="BO8" s="85"/>
      <c r="BP8" s="85"/>
      <c r="BQ8" s="86"/>
      <c r="BR8" s="46">
        <f>IF(SUM(J8:BQ8)&gt;0,SUM(J8:BQ8),"")</f>
        <v>4</v>
      </c>
      <c r="BS8" s="113">
        <f>H8-SUM(J10:BQ10)</f>
        <v>29</v>
      </c>
      <c r="BT8" s="98"/>
      <c r="BU8" s="2"/>
      <c r="BV8" s="21">
        <v>28946</v>
      </c>
    </row>
    <row r="9" spans="1:78">
      <c r="A9" s="2"/>
      <c r="B9" s="105"/>
      <c r="C9" s="108"/>
      <c r="D9" s="55"/>
      <c r="E9" s="27"/>
      <c r="F9" s="111"/>
      <c r="G9" s="111"/>
      <c r="H9" s="114"/>
      <c r="I9" s="28"/>
      <c r="J9" s="51">
        <v>25</v>
      </c>
      <c r="K9" s="51"/>
      <c r="L9" s="51"/>
      <c r="M9" s="51"/>
      <c r="N9" s="51"/>
      <c r="O9" s="51">
        <v>14</v>
      </c>
      <c r="P9" s="51"/>
      <c r="Q9" s="51"/>
      <c r="R9" s="51"/>
      <c r="S9" s="51"/>
      <c r="T9" s="52">
        <v>20</v>
      </c>
      <c r="U9" s="52"/>
      <c r="V9" s="52"/>
      <c r="W9" s="52"/>
      <c r="X9" s="52"/>
      <c r="Y9" s="52">
        <v>25</v>
      </c>
      <c r="Z9" s="52"/>
      <c r="AA9" s="52"/>
      <c r="AB9" s="52"/>
      <c r="AC9" s="52"/>
      <c r="AD9" s="52">
        <v>29</v>
      </c>
      <c r="AE9" s="52"/>
      <c r="AF9" s="52"/>
      <c r="AG9" s="52"/>
      <c r="AH9" s="52"/>
      <c r="AI9" s="52">
        <v>26</v>
      </c>
      <c r="AJ9" s="52"/>
      <c r="AK9" s="52"/>
      <c r="AL9" s="52"/>
      <c r="AM9" s="52"/>
      <c r="AN9" s="52">
        <v>24</v>
      </c>
      <c r="AO9" s="52"/>
      <c r="AP9" s="52"/>
      <c r="AQ9" s="52"/>
      <c r="AR9" s="52"/>
      <c r="AS9" s="52">
        <v>29</v>
      </c>
      <c r="AT9" s="52"/>
      <c r="AU9" s="52"/>
      <c r="AV9" s="52"/>
      <c r="AW9" s="52"/>
      <c r="AX9" s="52">
        <v>26</v>
      </c>
      <c r="AY9" s="52">
        <v>27</v>
      </c>
      <c r="AZ9" s="52"/>
      <c r="BA9" s="52"/>
      <c r="BB9" s="52"/>
      <c r="BC9" s="52">
        <v>30</v>
      </c>
      <c r="BD9" s="52"/>
      <c r="BE9" s="52"/>
      <c r="BF9" s="52"/>
      <c r="BG9" s="52"/>
      <c r="BH9" s="52">
        <v>10</v>
      </c>
      <c r="BI9" s="52"/>
      <c r="BJ9" s="52"/>
      <c r="BK9" s="52"/>
      <c r="BL9" s="52"/>
      <c r="BM9" s="52">
        <v>26</v>
      </c>
      <c r="BN9" s="52">
        <v>30</v>
      </c>
      <c r="BO9" s="52">
        <v>31</v>
      </c>
      <c r="BP9" s="52"/>
      <c r="BQ9" s="52"/>
      <c r="BR9" s="56"/>
      <c r="BS9" s="114"/>
      <c r="BT9" s="99"/>
      <c r="BU9" s="2"/>
      <c r="BV9" s="21"/>
    </row>
    <row r="10" spans="1:78">
      <c r="A10" s="2"/>
      <c r="B10" s="106"/>
      <c r="C10" s="109"/>
      <c r="D10" s="45">
        <f>IF(BV8&gt;0,DATEDIF(BV8,$BV$1,"YM"),"")</f>
        <v>0</v>
      </c>
      <c r="E10" s="1" t="s">
        <v>23</v>
      </c>
      <c r="F10" s="112"/>
      <c r="G10" s="112"/>
      <c r="H10" s="115"/>
      <c r="I10" s="20" t="s">
        <v>24</v>
      </c>
      <c r="J10" s="93">
        <v>1</v>
      </c>
      <c r="K10" s="94"/>
      <c r="L10" s="94"/>
      <c r="M10" s="94"/>
      <c r="N10" s="95"/>
      <c r="O10" s="93">
        <v>1</v>
      </c>
      <c r="P10" s="94"/>
      <c r="Q10" s="94"/>
      <c r="R10" s="94"/>
      <c r="S10" s="95"/>
      <c r="T10" s="87">
        <v>1</v>
      </c>
      <c r="U10" s="88"/>
      <c r="V10" s="88"/>
      <c r="W10" s="88"/>
      <c r="X10" s="89"/>
      <c r="Y10" s="87">
        <v>1</v>
      </c>
      <c r="Z10" s="88"/>
      <c r="AA10" s="88"/>
      <c r="AB10" s="88"/>
      <c r="AC10" s="89"/>
      <c r="AD10" s="87">
        <v>1</v>
      </c>
      <c r="AE10" s="88"/>
      <c r="AF10" s="88"/>
      <c r="AG10" s="88"/>
      <c r="AH10" s="89"/>
      <c r="AI10" s="87">
        <v>1</v>
      </c>
      <c r="AJ10" s="88"/>
      <c r="AK10" s="88"/>
      <c r="AL10" s="88"/>
      <c r="AM10" s="89"/>
      <c r="AN10" s="87">
        <v>1</v>
      </c>
      <c r="AO10" s="88"/>
      <c r="AP10" s="88"/>
      <c r="AQ10" s="88"/>
      <c r="AR10" s="89"/>
      <c r="AS10" s="87">
        <v>1</v>
      </c>
      <c r="AT10" s="88"/>
      <c r="AU10" s="88"/>
      <c r="AV10" s="88"/>
      <c r="AW10" s="89"/>
      <c r="AX10" s="87">
        <v>2</v>
      </c>
      <c r="AY10" s="88"/>
      <c r="AZ10" s="88"/>
      <c r="BA10" s="88"/>
      <c r="BB10" s="89"/>
      <c r="BC10" s="87"/>
      <c r="BD10" s="88"/>
      <c r="BE10" s="88"/>
      <c r="BF10" s="88"/>
      <c r="BG10" s="89"/>
      <c r="BH10" s="87">
        <v>1</v>
      </c>
      <c r="BI10" s="88"/>
      <c r="BJ10" s="88"/>
      <c r="BK10" s="88"/>
      <c r="BL10" s="89"/>
      <c r="BM10" s="87"/>
      <c r="BN10" s="88"/>
      <c r="BO10" s="88"/>
      <c r="BP10" s="88"/>
      <c r="BQ10" s="89"/>
      <c r="BR10" s="47">
        <f>IF(SUM(J10:BQ10)&gt;0,SUM(J10:BQ10),"")</f>
        <v>11</v>
      </c>
      <c r="BS10" s="115"/>
      <c r="BT10" s="100"/>
      <c r="BU10" s="2"/>
      <c r="BV10" s="57" t="str">
        <f>IF(ISBLANK(BV8),"",DATEDIF(BV8,$BV$1,"Y")&amp;"年"&amp;DATEDIF(BV8,$BV$1,"YM")&amp;"ヶ月")</f>
        <v>40年0ヶ月</v>
      </c>
      <c r="BW10">
        <f>IF(BR8="",BR10,BR8+BR10)</f>
        <v>15</v>
      </c>
      <c r="BX10">
        <f>H8-BW10</f>
        <v>25</v>
      </c>
    </row>
    <row r="11" spans="1:78">
      <c r="A11" s="2"/>
      <c r="B11" s="104" t="s">
        <v>64</v>
      </c>
      <c r="C11" s="107" t="s">
        <v>21</v>
      </c>
      <c r="D11" s="44">
        <f>IF(BV11&gt;0,DATEDIF(BV11,$BV$1,"Y"),"")</f>
        <v>33</v>
      </c>
      <c r="E11" s="18" t="s">
        <v>3</v>
      </c>
      <c r="F11" s="110">
        <v>20</v>
      </c>
      <c r="G11" s="110">
        <v>20</v>
      </c>
      <c r="H11" s="113">
        <f>SUM(F11:G13)</f>
        <v>40</v>
      </c>
      <c r="I11" s="19" t="s">
        <v>22</v>
      </c>
      <c r="J11" s="90"/>
      <c r="K11" s="91"/>
      <c r="L11" s="91"/>
      <c r="M11" s="91"/>
      <c r="N11" s="92"/>
      <c r="O11" s="90"/>
      <c r="P11" s="91"/>
      <c r="Q11" s="91"/>
      <c r="R11" s="91"/>
      <c r="S11" s="92"/>
      <c r="T11" s="84"/>
      <c r="U11" s="85"/>
      <c r="V11" s="85"/>
      <c r="W11" s="85"/>
      <c r="X11" s="86"/>
      <c r="Y11" s="84"/>
      <c r="Z11" s="85"/>
      <c r="AA11" s="85"/>
      <c r="AB11" s="85"/>
      <c r="AC11" s="86"/>
      <c r="AD11" s="84"/>
      <c r="AE11" s="85"/>
      <c r="AF11" s="85"/>
      <c r="AG11" s="85"/>
      <c r="AH11" s="86"/>
      <c r="AI11" s="84"/>
      <c r="AJ11" s="85"/>
      <c r="AK11" s="85"/>
      <c r="AL11" s="85"/>
      <c r="AM11" s="86"/>
      <c r="AN11" s="84"/>
      <c r="AO11" s="85"/>
      <c r="AP11" s="85"/>
      <c r="AQ11" s="85"/>
      <c r="AR11" s="86"/>
      <c r="AS11" s="84"/>
      <c r="AT11" s="85"/>
      <c r="AU11" s="85"/>
      <c r="AV11" s="85"/>
      <c r="AW11" s="86"/>
      <c r="AX11" s="84"/>
      <c r="AY11" s="85"/>
      <c r="AZ11" s="85"/>
      <c r="BA11" s="85"/>
      <c r="BB11" s="86"/>
      <c r="BC11" s="84"/>
      <c r="BD11" s="85"/>
      <c r="BE11" s="85"/>
      <c r="BF11" s="85"/>
      <c r="BG11" s="86"/>
      <c r="BH11" s="84"/>
      <c r="BI11" s="85"/>
      <c r="BJ11" s="85"/>
      <c r="BK11" s="85"/>
      <c r="BL11" s="86"/>
      <c r="BM11" s="84"/>
      <c r="BN11" s="85"/>
      <c r="BO11" s="85"/>
      <c r="BP11" s="85"/>
      <c r="BQ11" s="86"/>
      <c r="BR11" s="46" t="str">
        <f>IF(SUM(J11:BQ11)&gt;0,SUM(J11:BQ11),"")</f>
        <v/>
      </c>
      <c r="BS11" s="113">
        <f>H11-SUM(J13:BQ13)</f>
        <v>0</v>
      </c>
      <c r="BT11" s="98"/>
      <c r="BU11" s="2"/>
      <c r="BV11" s="21">
        <v>31503</v>
      </c>
    </row>
    <row r="12" spans="1:78">
      <c r="A12" s="2"/>
      <c r="B12" s="105"/>
      <c r="C12" s="108"/>
      <c r="D12" s="55"/>
      <c r="E12" s="27"/>
      <c r="F12" s="111"/>
      <c r="G12" s="111"/>
      <c r="H12" s="114"/>
      <c r="I12" s="28"/>
      <c r="J12" s="51"/>
      <c r="K12" s="51"/>
      <c r="L12" s="51"/>
      <c r="M12" s="51"/>
      <c r="N12" s="51"/>
      <c r="O12" s="51">
        <v>20</v>
      </c>
      <c r="P12" s="51"/>
      <c r="Q12" s="51"/>
      <c r="R12" s="51"/>
      <c r="S12" s="51"/>
      <c r="T12" s="52" t="s">
        <v>65</v>
      </c>
      <c r="U12" s="52"/>
      <c r="V12" s="52"/>
      <c r="W12" s="52"/>
      <c r="X12" s="52"/>
      <c r="Y12" s="52" t="s">
        <v>66</v>
      </c>
      <c r="Z12" s="52">
        <v>31</v>
      </c>
      <c r="AA12" s="52"/>
      <c r="AB12" s="52"/>
      <c r="AC12" s="52"/>
      <c r="AD12" s="52">
        <v>7</v>
      </c>
      <c r="AE12" s="52" t="s">
        <v>67</v>
      </c>
      <c r="AF12" s="52"/>
      <c r="AG12" s="52"/>
      <c r="AH12" s="52"/>
      <c r="AI12" s="52">
        <v>11</v>
      </c>
      <c r="AJ12" s="52"/>
      <c r="AK12" s="52"/>
      <c r="AL12" s="52"/>
      <c r="AM12" s="52"/>
      <c r="AN12" s="52" t="s">
        <v>68</v>
      </c>
      <c r="AO12" s="52"/>
      <c r="AP12" s="52"/>
      <c r="AQ12" s="52"/>
      <c r="AR12" s="52"/>
      <c r="AS12" s="52" t="s">
        <v>67</v>
      </c>
      <c r="AT12" s="52" t="s">
        <v>69</v>
      </c>
      <c r="AU12" s="52">
        <v>21</v>
      </c>
      <c r="AV12" s="52" t="s">
        <v>70</v>
      </c>
      <c r="AW12" s="52">
        <v>29</v>
      </c>
      <c r="AX12" s="52" t="s">
        <v>71</v>
      </c>
      <c r="AY12" s="52">
        <v>27</v>
      </c>
      <c r="AZ12" s="52"/>
      <c r="BA12" s="52"/>
      <c r="BB12" s="52"/>
      <c r="BC12" s="52">
        <v>6</v>
      </c>
      <c r="BD12" s="52" t="s">
        <v>72</v>
      </c>
      <c r="BE12" s="52" t="s">
        <v>73</v>
      </c>
      <c r="BF12" s="52"/>
      <c r="BG12" s="52"/>
      <c r="BH12" s="52"/>
      <c r="BI12" s="52"/>
      <c r="BJ12" s="52"/>
      <c r="BK12" s="52"/>
      <c r="BL12" s="52"/>
      <c r="BM12" s="52"/>
      <c r="BN12" s="52"/>
      <c r="BO12" s="52"/>
      <c r="BP12" s="52"/>
      <c r="BQ12" s="52"/>
      <c r="BR12" s="56"/>
      <c r="BS12" s="114"/>
      <c r="BT12" s="99"/>
      <c r="BU12" s="2"/>
      <c r="BV12" s="21"/>
    </row>
    <row r="13" spans="1:78">
      <c r="A13" s="2"/>
      <c r="B13" s="106"/>
      <c r="C13" s="109"/>
      <c r="D13" s="45">
        <f>IF(BV11&gt;0,DATEDIF(BV11,$BV$1,"YM"),"")</f>
        <v>0</v>
      </c>
      <c r="E13" s="1" t="s">
        <v>23</v>
      </c>
      <c r="F13" s="112"/>
      <c r="G13" s="112"/>
      <c r="H13" s="115"/>
      <c r="I13" s="20" t="s">
        <v>24</v>
      </c>
      <c r="J13" s="93"/>
      <c r="K13" s="94"/>
      <c r="L13" s="94"/>
      <c r="M13" s="94"/>
      <c r="N13" s="95"/>
      <c r="O13" s="93">
        <v>1</v>
      </c>
      <c r="P13" s="94"/>
      <c r="Q13" s="94"/>
      <c r="R13" s="94"/>
      <c r="S13" s="95"/>
      <c r="T13" s="87">
        <v>0.5</v>
      </c>
      <c r="U13" s="88"/>
      <c r="V13" s="88"/>
      <c r="W13" s="88"/>
      <c r="X13" s="89"/>
      <c r="Y13" s="87">
        <v>1.5</v>
      </c>
      <c r="Z13" s="88"/>
      <c r="AA13" s="88"/>
      <c r="AB13" s="88"/>
      <c r="AC13" s="89"/>
      <c r="AD13" s="87">
        <v>1.5</v>
      </c>
      <c r="AE13" s="88"/>
      <c r="AF13" s="88"/>
      <c r="AG13" s="88"/>
      <c r="AH13" s="89"/>
      <c r="AI13" s="87">
        <v>1</v>
      </c>
      <c r="AJ13" s="88"/>
      <c r="AK13" s="88"/>
      <c r="AL13" s="88"/>
      <c r="AM13" s="89"/>
      <c r="AN13" s="87">
        <v>0.5</v>
      </c>
      <c r="AO13" s="88"/>
      <c r="AP13" s="88"/>
      <c r="AQ13" s="88"/>
      <c r="AR13" s="89"/>
      <c r="AS13" s="87">
        <v>8.5</v>
      </c>
      <c r="AT13" s="88"/>
      <c r="AU13" s="88"/>
      <c r="AV13" s="88"/>
      <c r="AW13" s="89"/>
      <c r="AX13" s="87">
        <v>20</v>
      </c>
      <c r="AY13" s="88"/>
      <c r="AZ13" s="88"/>
      <c r="BA13" s="88"/>
      <c r="BB13" s="89"/>
      <c r="BC13" s="87">
        <v>5.5</v>
      </c>
      <c r="BD13" s="88"/>
      <c r="BE13" s="88"/>
      <c r="BF13" s="88"/>
      <c r="BG13" s="89"/>
      <c r="BH13" s="87"/>
      <c r="BI13" s="88"/>
      <c r="BJ13" s="88"/>
      <c r="BK13" s="88"/>
      <c r="BL13" s="89"/>
      <c r="BM13" s="87"/>
      <c r="BN13" s="88"/>
      <c r="BO13" s="88"/>
      <c r="BP13" s="88"/>
      <c r="BQ13" s="89"/>
      <c r="BR13" s="47">
        <f>IF(SUM(J13:BQ13)&gt;0,SUM(J13:BQ13),"")</f>
        <v>40</v>
      </c>
      <c r="BS13" s="115"/>
      <c r="BT13" s="100"/>
      <c r="BU13" s="2"/>
      <c r="BV13" s="57" t="str">
        <f>IF(ISBLANK(BV11),"",DATEDIF(BV11,$BV$1,"Y")&amp;"年"&amp;DATEDIF(BV11,$BV$1,"YM")&amp;"ヶ月")</f>
        <v>33年0ヶ月</v>
      </c>
      <c r="BW13">
        <f>IF(BR11="",BR13,BR11+BR13)</f>
        <v>40</v>
      </c>
      <c r="BX13">
        <f>H11-BW13</f>
        <v>0</v>
      </c>
    </row>
    <row r="14" spans="1:78">
      <c r="A14" s="2"/>
      <c r="B14" s="104" t="s">
        <v>74</v>
      </c>
      <c r="C14" s="107" t="s">
        <v>27</v>
      </c>
      <c r="D14" s="44">
        <f>IF(BV14&gt;0,DATEDIF(BV14,$BV$1,"Y"),"")</f>
        <v>37</v>
      </c>
      <c r="E14" s="18" t="s">
        <v>3</v>
      </c>
      <c r="F14" s="110">
        <v>20</v>
      </c>
      <c r="G14" s="110">
        <v>20</v>
      </c>
      <c r="H14" s="113">
        <f>SUM(F14:G16)</f>
        <v>40</v>
      </c>
      <c r="I14" s="19" t="s">
        <v>22</v>
      </c>
      <c r="J14" s="90"/>
      <c r="K14" s="91"/>
      <c r="L14" s="91"/>
      <c r="M14" s="91"/>
      <c r="N14" s="92"/>
      <c r="O14" s="90"/>
      <c r="P14" s="91"/>
      <c r="Q14" s="91"/>
      <c r="R14" s="91"/>
      <c r="S14" s="92"/>
      <c r="T14" s="84"/>
      <c r="U14" s="85"/>
      <c r="V14" s="85"/>
      <c r="W14" s="85"/>
      <c r="X14" s="86"/>
      <c r="Y14" s="84"/>
      <c r="Z14" s="85"/>
      <c r="AA14" s="85"/>
      <c r="AB14" s="85"/>
      <c r="AC14" s="86"/>
      <c r="AD14" s="84"/>
      <c r="AE14" s="85"/>
      <c r="AF14" s="85"/>
      <c r="AG14" s="85"/>
      <c r="AH14" s="86"/>
      <c r="AI14" s="84"/>
      <c r="AJ14" s="85"/>
      <c r="AK14" s="85"/>
      <c r="AL14" s="85"/>
      <c r="AM14" s="86"/>
      <c r="AN14" s="84"/>
      <c r="AO14" s="85"/>
      <c r="AP14" s="85"/>
      <c r="AQ14" s="85"/>
      <c r="AR14" s="86"/>
      <c r="AS14" s="84"/>
      <c r="AT14" s="85"/>
      <c r="AU14" s="85"/>
      <c r="AV14" s="85"/>
      <c r="AW14" s="86"/>
      <c r="AX14" s="84"/>
      <c r="AY14" s="85"/>
      <c r="AZ14" s="85"/>
      <c r="BA14" s="85"/>
      <c r="BB14" s="86"/>
      <c r="BC14" s="84"/>
      <c r="BD14" s="85"/>
      <c r="BE14" s="85"/>
      <c r="BF14" s="85"/>
      <c r="BG14" s="86"/>
      <c r="BH14" s="84"/>
      <c r="BI14" s="85"/>
      <c r="BJ14" s="85"/>
      <c r="BK14" s="85"/>
      <c r="BL14" s="86"/>
      <c r="BM14" s="84">
        <v>0.5</v>
      </c>
      <c r="BN14" s="85"/>
      <c r="BO14" s="85"/>
      <c r="BP14" s="85"/>
      <c r="BQ14" s="86"/>
      <c r="BR14" s="46">
        <f>IF(SUM(J14:BQ14)&gt;0,SUM(J14:BQ14),"")</f>
        <v>0.5</v>
      </c>
      <c r="BS14" s="113">
        <f>H14-SUM(J16:BQ16)</f>
        <v>35</v>
      </c>
      <c r="BT14" s="98"/>
      <c r="BU14" s="2"/>
      <c r="BV14" s="21">
        <v>30042</v>
      </c>
    </row>
    <row r="15" spans="1:78">
      <c r="A15" s="2"/>
      <c r="B15" s="105"/>
      <c r="C15" s="108"/>
      <c r="D15" s="55"/>
      <c r="E15" s="27"/>
      <c r="F15" s="111"/>
      <c r="G15" s="111"/>
      <c r="H15" s="114"/>
      <c r="I15" s="28"/>
      <c r="J15" s="53"/>
      <c r="K15" s="53"/>
      <c r="L15" s="53"/>
      <c r="M15" s="53"/>
      <c r="N15" s="53"/>
      <c r="O15" s="53"/>
      <c r="P15" s="53"/>
      <c r="Q15" s="53"/>
      <c r="R15" s="53"/>
      <c r="S15" s="53"/>
      <c r="T15" s="54"/>
      <c r="U15" s="54"/>
      <c r="V15" s="54"/>
      <c r="W15" s="54"/>
      <c r="X15" s="54"/>
      <c r="Y15" s="54"/>
      <c r="Z15" s="54"/>
      <c r="AA15" s="54"/>
      <c r="AB15" s="54"/>
      <c r="AC15" s="54"/>
      <c r="AD15" s="54">
        <v>26</v>
      </c>
      <c r="AE15" s="54">
        <v>27</v>
      </c>
      <c r="AF15" s="54"/>
      <c r="AG15" s="54"/>
      <c r="AH15" s="54"/>
      <c r="AI15" s="54">
        <v>13</v>
      </c>
      <c r="AJ15" s="54"/>
      <c r="AK15" s="54"/>
      <c r="AL15" s="54"/>
      <c r="AM15" s="54"/>
      <c r="AN15" s="54">
        <v>21</v>
      </c>
      <c r="AO15" s="54"/>
      <c r="AP15" s="54"/>
      <c r="AQ15" s="54"/>
      <c r="AR15" s="54"/>
      <c r="AS15" s="54">
        <v>11</v>
      </c>
      <c r="AT15" s="54"/>
      <c r="AU15" s="54"/>
      <c r="AV15" s="54"/>
      <c r="AW15" s="54"/>
      <c r="AX15" s="54"/>
      <c r="AY15" s="54"/>
      <c r="AZ15" s="54"/>
      <c r="BA15" s="54"/>
      <c r="BB15" s="54"/>
      <c r="BC15" s="54"/>
      <c r="BD15" s="54"/>
      <c r="BE15" s="54"/>
      <c r="BF15" s="54"/>
      <c r="BG15" s="54"/>
      <c r="BH15" s="54"/>
      <c r="BI15" s="54"/>
      <c r="BJ15" s="54"/>
      <c r="BK15" s="54"/>
      <c r="BL15" s="54"/>
      <c r="BM15" s="54" t="s">
        <v>75</v>
      </c>
      <c r="BN15" s="54"/>
      <c r="BO15" s="54"/>
      <c r="BP15" s="54"/>
      <c r="BQ15" s="54"/>
      <c r="BR15" s="56"/>
      <c r="BS15" s="114"/>
      <c r="BT15" s="99"/>
      <c r="BU15" s="2"/>
      <c r="BV15" s="21"/>
    </row>
    <row r="16" spans="1:78">
      <c r="A16" s="2"/>
      <c r="B16" s="106"/>
      <c r="C16" s="109"/>
      <c r="D16" s="45">
        <f>IF(BV14&gt;0,DATEDIF(BV14,$BV$1,"YM"),"")</f>
        <v>0</v>
      </c>
      <c r="E16" s="1" t="s">
        <v>23</v>
      </c>
      <c r="F16" s="112"/>
      <c r="G16" s="112"/>
      <c r="H16" s="115"/>
      <c r="I16" s="20" t="s">
        <v>24</v>
      </c>
      <c r="J16" s="93"/>
      <c r="K16" s="94"/>
      <c r="L16" s="94"/>
      <c r="M16" s="94"/>
      <c r="N16" s="95"/>
      <c r="O16" s="93"/>
      <c r="P16" s="94"/>
      <c r="Q16" s="94"/>
      <c r="R16" s="94"/>
      <c r="S16" s="95"/>
      <c r="T16" s="87"/>
      <c r="U16" s="88"/>
      <c r="V16" s="88"/>
      <c r="W16" s="88"/>
      <c r="X16" s="89"/>
      <c r="Y16" s="87"/>
      <c r="Z16" s="88"/>
      <c r="AA16" s="88"/>
      <c r="AB16" s="88"/>
      <c r="AC16" s="89"/>
      <c r="AD16" s="87">
        <v>2</v>
      </c>
      <c r="AE16" s="88"/>
      <c r="AF16" s="88"/>
      <c r="AG16" s="88"/>
      <c r="AH16" s="89"/>
      <c r="AI16" s="87">
        <v>1</v>
      </c>
      <c r="AJ16" s="88"/>
      <c r="AK16" s="88"/>
      <c r="AL16" s="88"/>
      <c r="AM16" s="89"/>
      <c r="AN16" s="87">
        <v>1</v>
      </c>
      <c r="AO16" s="88"/>
      <c r="AP16" s="88"/>
      <c r="AQ16" s="88"/>
      <c r="AR16" s="89"/>
      <c r="AS16" s="87">
        <v>1</v>
      </c>
      <c r="AT16" s="88"/>
      <c r="AU16" s="88"/>
      <c r="AV16" s="88"/>
      <c r="AW16" s="89"/>
      <c r="AX16" s="87"/>
      <c r="AY16" s="88"/>
      <c r="AZ16" s="88"/>
      <c r="BA16" s="88"/>
      <c r="BB16" s="89"/>
      <c r="BC16" s="87"/>
      <c r="BD16" s="88"/>
      <c r="BE16" s="88"/>
      <c r="BF16" s="88"/>
      <c r="BG16" s="89"/>
      <c r="BH16" s="87"/>
      <c r="BI16" s="88"/>
      <c r="BJ16" s="88"/>
      <c r="BK16" s="88"/>
      <c r="BL16" s="89"/>
      <c r="BM16" s="87"/>
      <c r="BN16" s="88"/>
      <c r="BO16" s="88"/>
      <c r="BP16" s="88"/>
      <c r="BQ16" s="89"/>
      <c r="BR16" s="47">
        <f>IF(SUM(J16:BQ16)&gt;0,SUM(J16:BQ16),"")</f>
        <v>5</v>
      </c>
      <c r="BS16" s="115"/>
      <c r="BT16" s="100"/>
      <c r="BU16" s="2"/>
      <c r="BV16" s="57" t="str">
        <f>IF(ISBLANK(BV14),"",DATEDIF(BV14,$BV$1,"Y")&amp;"年"&amp;DATEDIF(BV14,$BV$1,"YM")&amp;"ヶ月")</f>
        <v>37年0ヶ月</v>
      </c>
      <c r="BW16">
        <f>IF(BR14="",BR16,BR14+BR16)</f>
        <v>5.5</v>
      </c>
      <c r="BX16">
        <f>H14-BW16</f>
        <v>34.5</v>
      </c>
    </row>
    <row r="17" spans="1:76">
      <c r="A17" s="2"/>
      <c r="B17" s="104" t="s">
        <v>76</v>
      </c>
      <c r="C17" s="107" t="s">
        <v>37</v>
      </c>
      <c r="D17" s="44">
        <f>IF(BV17&gt;0,DATEDIF(BV17,$BV$1,"Y"),"")</f>
        <v>6</v>
      </c>
      <c r="E17" s="18" t="s">
        <v>3</v>
      </c>
      <c r="F17" s="110">
        <v>20</v>
      </c>
      <c r="G17" s="110">
        <v>20</v>
      </c>
      <c r="H17" s="113">
        <f>SUM(F17:G19)</f>
        <v>40</v>
      </c>
      <c r="I17" s="19" t="s">
        <v>22</v>
      </c>
      <c r="J17" s="90"/>
      <c r="K17" s="91"/>
      <c r="L17" s="91"/>
      <c r="M17" s="91"/>
      <c r="N17" s="92"/>
      <c r="O17" s="90"/>
      <c r="P17" s="91"/>
      <c r="Q17" s="91"/>
      <c r="R17" s="91"/>
      <c r="S17" s="92"/>
      <c r="T17" s="84"/>
      <c r="U17" s="85"/>
      <c r="V17" s="85"/>
      <c r="W17" s="85"/>
      <c r="X17" s="86"/>
      <c r="Y17" s="84"/>
      <c r="Z17" s="85"/>
      <c r="AA17" s="85"/>
      <c r="AB17" s="85"/>
      <c r="AC17" s="86"/>
      <c r="AD17" s="84"/>
      <c r="AE17" s="85"/>
      <c r="AF17" s="85"/>
      <c r="AG17" s="85"/>
      <c r="AH17" s="86"/>
      <c r="AI17" s="84"/>
      <c r="AJ17" s="85"/>
      <c r="AK17" s="85"/>
      <c r="AL17" s="85"/>
      <c r="AM17" s="86"/>
      <c r="AN17" s="84"/>
      <c r="AO17" s="85"/>
      <c r="AP17" s="85"/>
      <c r="AQ17" s="85"/>
      <c r="AR17" s="86"/>
      <c r="AS17" s="84"/>
      <c r="AT17" s="85"/>
      <c r="AU17" s="85"/>
      <c r="AV17" s="85"/>
      <c r="AW17" s="86"/>
      <c r="AX17" s="84"/>
      <c r="AY17" s="85"/>
      <c r="AZ17" s="85"/>
      <c r="BA17" s="85"/>
      <c r="BB17" s="86"/>
      <c r="BC17" s="84"/>
      <c r="BD17" s="85"/>
      <c r="BE17" s="85"/>
      <c r="BF17" s="85"/>
      <c r="BG17" s="86"/>
      <c r="BH17" s="84"/>
      <c r="BI17" s="85"/>
      <c r="BJ17" s="85"/>
      <c r="BK17" s="85"/>
      <c r="BL17" s="86"/>
      <c r="BM17" s="84"/>
      <c r="BN17" s="85"/>
      <c r="BO17" s="85"/>
      <c r="BP17" s="85"/>
      <c r="BQ17" s="86"/>
      <c r="BR17" s="46" t="str">
        <f>IF(SUM(J17:BQ17)&gt;0,SUM(J17:BQ17),"")</f>
        <v/>
      </c>
      <c r="BS17" s="113">
        <f>H17-SUM(J19:BQ19)</f>
        <v>30.5</v>
      </c>
      <c r="BT17" s="98"/>
      <c r="BU17" s="2"/>
      <c r="BV17" s="21">
        <v>41153</v>
      </c>
    </row>
    <row r="18" spans="1:76">
      <c r="A18" s="2"/>
      <c r="B18" s="105"/>
      <c r="C18" s="108"/>
      <c r="D18" s="55"/>
      <c r="E18" s="27"/>
      <c r="F18" s="111"/>
      <c r="G18" s="111"/>
      <c r="H18" s="114"/>
      <c r="I18" s="28"/>
      <c r="J18" s="51" t="s">
        <v>77</v>
      </c>
      <c r="K18" s="51">
        <v>16</v>
      </c>
      <c r="L18" s="51"/>
      <c r="M18" s="51"/>
      <c r="N18" s="51"/>
      <c r="O18" s="51" t="s">
        <v>78</v>
      </c>
      <c r="P18" s="51"/>
      <c r="Q18" s="51"/>
      <c r="R18" s="51"/>
      <c r="S18" s="51"/>
      <c r="T18" s="52">
        <v>7</v>
      </c>
      <c r="U18" s="52" t="s">
        <v>79</v>
      </c>
      <c r="V18" s="52"/>
      <c r="W18" s="52"/>
      <c r="X18" s="52"/>
      <c r="Y18" s="52"/>
      <c r="Z18" s="52"/>
      <c r="AA18" s="52"/>
      <c r="AB18" s="52"/>
      <c r="AC18" s="52"/>
      <c r="AD18" s="52"/>
      <c r="AE18" s="52"/>
      <c r="AF18" s="52"/>
      <c r="AG18" s="52"/>
      <c r="AH18" s="52"/>
      <c r="AI18" s="52">
        <v>2</v>
      </c>
      <c r="AJ18" s="52">
        <v>4</v>
      </c>
      <c r="AK18" s="52"/>
      <c r="AL18" s="52"/>
      <c r="AM18" s="52"/>
      <c r="AN18" s="52">
        <v>15</v>
      </c>
      <c r="AO18" s="52"/>
      <c r="AP18" s="52"/>
      <c r="AQ18" s="52"/>
      <c r="AR18" s="52"/>
      <c r="AS18" s="52">
        <v>11</v>
      </c>
      <c r="AT18" s="52"/>
      <c r="AU18" s="52"/>
      <c r="AV18" s="52"/>
      <c r="AW18" s="52"/>
      <c r="AX18" s="52">
        <v>5</v>
      </c>
      <c r="AY18" s="52"/>
      <c r="AZ18" s="52"/>
      <c r="BA18" s="52"/>
      <c r="BB18" s="52"/>
      <c r="BC18" s="52"/>
      <c r="BD18" s="52"/>
      <c r="BE18" s="52"/>
      <c r="BF18" s="52"/>
      <c r="BG18" s="52"/>
      <c r="BH18" s="52">
        <v>4</v>
      </c>
      <c r="BI18" s="52"/>
      <c r="BJ18" s="52"/>
      <c r="BK18" s="52"/>
      <c r="BL18" s="52"/>
      <c r="BM18" s="52"/>
      <c r="BN18" s="52"/>
      <c r="BO18" s="52"/>
      <c r="BP18" s="52"/>
      <c r="BQ18" s="52"/>
      <c r="BR18" s="56"/>
      <c r="BS18" s="114"/>
      <c r="BT18" s="99"/>
      <c r="BU18" s="2"/>
      <c r="BV18" s="21"/>
    </row>
    <row r="19" spans="1:76">
      <c r="A19" s="2"/>
      <c r="B19" s="106"/>
      <c r="C19" s="109"/>
      <c r="D19" s="45">
        <f>IF(BV17&gt;0,DATEDIF(BV17,$BV$1,"YM"),"")</f>
        <v>7</v>
      </c>
      <c r="E19" s="1" t="s">
        <v>23</v>
      </c>
      <c r="F19" s="112"/>
      <c r="G19" s="112"/>
      <c r="H19" s="115"/>
      <c r="I19" s="20" t="s">
        <v>24</v>
      </c>
      <c r="J19" s="93">
        <v>1.5</v>
      </c>
      <c r="K19" s="94"/>
      <c r="L19" s="94"/>
      <c r="M19" s="94"/>
      <c r="N19" s="95"/>
      <c r="O19" s="93">
        <v>0.5</v>
      </c>
      <c r="P19" s="94"/>
      <c r="Q19" s="94"/>
      <c r="R19" s="94"/>
      <c r="S19" s="95"/>
      <c r="T19" s="87">
        <v>1.5</v>
      </c>
      <c r="U19" s="88"/>
      <c r="V19" s="88"/>
      <c r="W19" s="88"/>
      <c r="X19" s="89"/>
      <c r="Y19" s="87"/>
      <c r="Z19" s="88"/>
      <c r="AA19" s="88"/>
      <c r="AB19" s="88"/>
      <c r="AC19" s="89"/>
      <c r="AD19" s="87"/>
      <c r="AE19" s="88"/>
      <c r="AF19" s="88"/>
      <c r="AG19" s="88"/>
      <c r="AH19" s="89"/>
      <c r="AI19" s="87">
        <v>2</v>
      </c>
      <c r="AJ19" s="88"/>
      <c r="AK19" s="88"/>
      <c r="AL19" s="88"/>
      <c r="AM19" s="89"/>
      <c r="AN19" s="87">
        <v>1</v>
      </c>
      <c r="AO19" s="88"/>
      <c r="AP19" s="88"/>
      <c r="AQ19" s="88"/>
      <c r="AR19" s="89"/>
      <c r="AS19" s="87">
        <v>1</v>
      </c>
      <c r="AT19" s="88"/>
      <c r="AU19" s="88"/>
      <c r="AV19" s="88"/>
      <c r="AW19" s="89"/>
      <c r="AX19" s="87">
        <v>1</v>
      </c>
      <c r="AY19" s="88"/>
      <c r="AZ19" s="88"/>
      <c r="BA19" s="88"/>
      <c r="BB19" s="89"/>
      <c r="BC19" s="87"/>
      <c r="BD19" s="88"/>
      <c r="BE19" s="88"/>
      <c r="BF19" s="88"/>
      <c r="BG19" s="89"/>
      <c r="BH19" s="87">
        <v>1</v>
      </c>
      <c r="BI19" s="88"/>
      <c r="BJ19" s="88"/>
      <c r="BK19" s="88"/>
      <c r="BL19" s="89"/>
      <c r="BM19" s="87"/>
      <c r="BN19" s="88"/>
      <c r="BO19" s="88"/>
      <c r="BP19" s="88"/>
      <c r="BQ19" s="89"/>
      <c r="BR19" s="47">
        <f>IF(SUM(J19:BQ19)&gt;0,SUM(J19:BQ19),"")</f>
        <v>9.5</v>
      </c>
      <c r="BS19" s="115"/>
      <c r="BT19" s="100"/>
      <c r="BU19" s="2"/>
      <c r="BV19" s="57" t="str">
        <f>IF(ISBLANK(BV17),"",DATEDIF(BV17,$BV$1,"Y")&amp;"年"&amp;DATEDIF(BV17,$BV$1,"YM")&amp;"ヶ月")</f>
        <v>6年7ヶ月</v>
      </c>
      <c r="BW19">
        <f>IF(BR17="",BR19,BR17+BR19)</f>
        <v>9.5</v>
      </c>
      <c r="BX19">
        <f>H17-BW19</f>
        <v>30.5</v>
      </c>
    </row>
    <row r="20" spans="1:76">
      <c r="A20" s="2"/>
      <c r="B20" s="104" t="s">
        <v>80</v>
      </c>
      <c r="C20" s="107" t="s">
        <v>49</v>
      </c>
      <c r="D20" s="44">
        <f>IF(BV20&gt;0,DATEDIF(BV20,$BV$1,"Y"),"")</f>
        <v>1</v>
      </c>
      <c r="E20" s="18" t="s">
        <v>3</v>
      </c>
      <c r="F20" s="110">
        <v>0</v>
      </c>
      <c r="G20" s="110">
        <v>11</v>
      </c>
      <c r="H20" s="113">
        <f>SUM(F20:G22)</f>
        <v>11</v>
      </c>
      <c r="I20" s="19" t="s">
        <v>22</v>
      </c>
      <c r="J20" s="90"/>
      <c r="K20" s="91"/>
      <c r="L20" s="91"/>
      <c r="M20" s="91"/>
      <c r="N20" s="92"/>
      <c r="O20" s="90"/>
      <c r="P20" s="91"/>
      <c r="Q20" s="91"/>
      <c r="R20" s="91"/>
      <c r="S20" s="92"/>
      <c r="T20" s="84"/>
      <c r="U20" s="85"/>
      <c r="V20" s="85"/>
      <c r="W20" s="85"/>
      <c r="X20" s="86"/>
      <c r="Y20" s="84"/>
      <c r="Z20" s="85"/>
      <c r="AA20" s="85"/>
      <c r="AB20" s="85"/>
      <c r="AC20" s="86"/>
      <c r="AD20" s="84"/>
      <c r="AE20" s="85"/>
      <c r="AF20" s="85"/>
      <c r="AG20" s="85"/>
      <c r="AH20" s="86"/>
      <c r="AI20" s="84"/>
      <c r="AJ20" s="85"/>
      <c r="AK20" s="85"/>
      <c r="AL20" s="85"/>
      <c r="AM20" s="86"/>
      <c r="AN20" s="84"/>
      <c r="AO20" s="85"/>
      <c r="AP20" s="85"/>
      <c r="AQ20" s="85"/>
      <c r="AR20" s="86"/>
      <c r="AS20" s="84"/>
      <c r="AT20" s="85"/>
      <c r="AU20" s="85"/>
      <c r="AV20" s="85"/>
      <c r="AW20" s="86"/>
      <c r="AX20" s="84"/>
      <c r="AY20" s="85"/>
      <c r="AZ20" s="85"/>
      <c r="BA20" s="85"/>
      <c r="BB20" s="86"/>
      <c r="BC20" s="84"/>
      <c r="BD20" s="85"/>
      <c r="BE20" s="85"/>
      <c r="BF20" s="85"/>
      <c r="BG20" s="86"/>
      <c r="BH20" s="84"/>
      <c r="BI20" s="85"/>
      <c r="BJ20" s="85"/>
      <c r="BK20" s="85"/>
      <c r="BL20" s="86"/>
      <c r="BM20" s="84">
        <v>1</v>
      </c>
      <c r="BN20" s="85"/>
      <c r="BO20" s="85"/>
      <c r="BP20" s="85"/>
      <c r="BQ20" s="86"/>
      <c r="BR20" s="46">
        <f>IF(SUM(J20:BQ20)&gt;0,SUM(J20:BQ20),"")</f>
        <v>1</v>
      </c>
      <c r="BS20" s="113">
        <f>H20-SUM(J22:BQ22)</f>
        <v>1</v>
      </c>
      <c r="BT20" s="98"/>
      <c r="BU20" s="2"/>
      <c r="BV20" s="21">
        <v>43191</v>
      </c>
    </row>
    <row r="21" spans="1:76">
      <c r="A21" s="2"/>
      <c r="B21" s="105"/>
      <c r="C21" s="108"/>
      <c r="D21" s="55"/>
      <c r="E21" s="27"/>
      <c r="F21" s="111"/>
      <c r="G21" s="111"/>
      <c r="H21" s="114"/>
      <c r="I21" s="28"/>
      <c r="J21" s="53" t="s">
        <v>81</v>
      </c>
      <c r="K21" s="53" t="s">
        <v>82</v>
      </c>
      <c r="L21" s="53"/>
      <c r="M21" s="53"/>
      <c r="N21" s="53"/>
      <c r="O21" s="53" t="s">
        <v>83</v>
      </c>
      <c r="P21" s="53"/>
      <c r="Q21" s="53"/>
      <c r="R21" s="53"/>
      <c r="S21" s="53"/>
      <c r="T21" s="54" t="s">
        <v>84</v>
      </c>
      <c r="U21" s="54" t="s">
        <v>85</v>
      </c>
      <c r="V21" s="54"/>
      <c r="W21" s="54"/>
      <c r="X21" s="54"/>
      <c r="Y21" s="54"/>
      <c r="Z21" s="54"/>
      <c r="AA21" s="54"/>
      <c r="AB21" s="54"/>
      <c r="AC21" s="54"/>
      <c r="AD21" s="54">
        <v>1</v>
      </c>
      <c r="AE21" s="54"/>
      <c r="AF21" s="54"/>
      <c r="AG21" s="54"/>
      <c r="AH21" s="54"/>
      <c r="AI21" s="54" t="s">
        <v>66</v>
      </c>
      <c r="AJ21" s="54"/>
      <c r="AK21" s="54"/>
      <c r="AL21" s="54"/>
      <c r="AM21" s="54"/>
      <c r="AN21" s="54" t="s">
        <v>86</v>
      </c>
      <c r="AO21" s="54" t="s">
        <v>87</v>
      </c>
      <c r="AP21" s="54"/>
      <c r="AQ21" s="54"/>
      <c r="AR21" s="54"/>
      <c r="AS21" s="54" t="s">
        <v>55</v>
      </c>
      <c r="AT21" s="54"/>
      <c r="AU21" s="54"/>
      <c r="AV21" s="54"/>
      <c r="AW21" s="54"/>
      <c r="AX21" s="54" t="s">
        <v>88</v>
      </c>
      <c r="AY21" s="54">
        <v>10</v>
      </c>
      <c r="AZ21" s="54"/>
      <c r="BA21" s="54"/>
      <c r="BB21" s="54"/>
      <c r="BC21" s="54" t="s">
        <v>89</v>
      </c>
      <c r="BD21" s="54">
        <v>31</v>
      </c>
      <c r="BE21" s="54"/>
      <c r="BF21" s="54"/>
      <c r="BG21" s="54"/>
      <c r="BH21" s="54" t="s">
        <v>90</v>
      </c>
      <c r="BI21" s="54">
        <v>28</v>
      </c>
      <c r="BJ21" s="54"/>
      <c r="BK21" s="54"/>
      <c r="BL21" s="54"/>
      <c r="BM21" s="54" t="s">
        <v>91</v>
      </c>
      <c r="BN21" s="54" t="s">
        <v>79</v>
      </c>
      <c r="BO21" s="54"/>
      <c r="BP21" s="54"/>
      <c r="BQ21" s="54"/>
      <c r="BR21" s="56"/>
      <c r="BS21" s="114"/>
      <c r="BT21" s="99"/>
      <c r="BU21" s="2"/>
      <c r="BV21" s="21"/>
    </row>
    <row r="22" spans="1:76">
      <c r="A22" s="2"/>
      <c r="B22" s="106"/>
      <c r="C22" s="109"/>
      <c r="D22" s="45">
        <f>IF(BV20&gt;0,DATEDIF(BV20,$BV$1,"YM"),"")</f>
        <v>0</v>
      </c>
      <c r="E22" s="1" t="s">
        <v>23</v>
      </c>
      <c r="F22" s="112"/>
      <c r="G22" s="112"/>
      <c r="H22" s="115"/>
      <c r="I22" s="20" t="s">
        <v>24</v>
      </c>
      <c r="J22" s="93">
        <v>1</v>
      </c>
      <c r="K22" s="94"/>
      <c r="L22" s="94"/>
      <c r="M22" s="94"/>
      <c r="N22" s="95"/>
      <c r="O22" s="93">
        <v>0.5</v>
      </c>
      <c r="P22" s="94"/>
      <c r="Q22" s="94"/>
      <c r="R22" s="94"/>
      <c r="S22" s="95"/>
      <c r="T22" s="87">
        <v>1</v>
      </c>
      <c r="U22" s="88"/>
      <c r="V22" s="88"/>
      <c r="W22" s="88"/>
      <c r="X22" s="89"/>
      <c r="Y22" s="87"/>
      <c r="Z22" s="88"/>
      <c r="AA22" s="88"/>
      <c r="AB22" s="88"/>
      <c r="AC22" s="89"/>
      <c r="AD22" s="87">
        <v>1</v>
      </c>
      <c r="AE22" s="88"/>
      <c r="AF22" s="88"/>
      <c r="AG22" s="88"/>
      <c r="AH22" s="89"/>
      <c r="AI22" s="87">
        <v>0.5</v>
      </c>
      <c r="AJ22" s="88"/>
      <c r="AK22" s="88"/>
      <c r="AL22" s="88"/>
      <c r="AM22" s="89"/>
      <c r="AN22" s="87">
        <v>1</v>
      </c>
      <c r="AO22" s="88"/>
      <c r="AP22" s="88"/>
      <c r="AQ22" s="88"/>
      <c r="AR22" s="89"/>
      <c r="AS22" s="87">
        <v>0.5</v>
      </c>
      <c r="AT22" s="88"/>
      <c r="AU22" s="88"/>
      <c r="AV22" s="88"/>
      <c r="AW22" s="89"/>
      <c r="AX22" s="87">
        <v>1.5</v>
      </c>
      <c r="AY22" s="88"/>
      <c r="AZ22" s="88"/>
      <c r="BA22" s="88"/>
      <c r="BB22" s="89"/>
      <c r="BC22" s="87">
        <v>1.5</v>
      </c>
      <c r="BD22" s="88"/>
      <c r="BE22" s="88"/>
      <c r="BF22" s="88"/>
      <c r="BG22" s="89"/>
      <c r="BH22" s="87">
        <v>1.5</v>
      </c>
      <c r="BI22" s="88"/>
      <c r="BJ22" s="88"/>
      <c r="BK22" s="88"/>
      <c r="BL22" s="89"/>
      <c r="BM22" s="87"/>
      <c r="BN22" s="88"/>
      <c r="BO22" s="88"/>
      <c r="BP22" s="88"/>
      <c r="BQ22" s="89"/>
      <c r="BR22" s="61">
        <f>IF(SUM(J22:BQ22)&gt;0,SUM(J22:BQ22),"")</f>
        <v>10</v>
      </c>
      <c r="BS22" s="115"/>
      <c r="BT22" s="100"/>
      <c r="BU22" s="2"/>
      <c r="BV22" s="57" t="str">
        <f>IF(ISBLANK(BV20),"",DATEDIF(BV20,$BV$1,"Y")&amp;"年"&amp;DATEDIF(BV20,$BV$1,"YM")&amp;"ヶ月")</f>
        <v>1年0ヶ月</v>
      </c>
      <c r="BW22">
        <f>IF(BR20="",BR22,BR20+BR22)</f>
        <v>11</v>
      </c>
      <c r="BX22">
        <f>H20-BW22</f>
        <v>0</v>
      </c>
    </row>
    <row r="23" spans="1:76">
      <c r="A23" s="2"/>
      <c r="B23" s="104" t="s">
        <v>92</v>
      </c>
      <c r="C23" s="107" t="s">
        <v>93</v>
      </c>
      <c r="D23" s="44">
        <f>IF(BV23&gt;0,DATEDIF(BV23,$BV$1,"Y"),"")</f>
        <v>8</v>
      </c>
      <c r="E23" s="18" t="s">
        <v>3</v>
      </c>
      <c r="F23" s="110">
        <v>20</v>
      </c>
      <c r="G23" s="110">
        <v>20</v>
      </c>
      <c r="H23" s="113">
        <f>SUM(F23:G25)</f>
        <v>40</v>
      </c>
      <c r="I23" s="19" t="s">
        <v>22</v>
      </c>
      <c r="J23" s="90"/>
      <c r="K23" s="91"/>
      <c r="L23" s="91"/>
      <c r="M23" s="91"/>
      <c r="N23" s="92"/>
      <c r="O23" s="90"/>
      <c r="P23" s="91"/>
      <c r="Q23" s="91"/>
      <c r="R23" s="91"/>
      <c r="S23" s="92"/>
      <c r="T23" s="84"/>
      <c r="U23" s="85"/>
      <c r="V23" s="85"/>
      <c r="W23" s="85"/>
      <c r="X23" s="86"/>
      <c r="Y23" s="84"/>
      <c r="Z23" s="85"/>
      <c r="AA23" s="85"/>
      <c r="AB23" s="85"/>
      <c r="AC23" s="86"/>
      <c r="AD23" s="84"/>
      <c r="AE23" s="85"/>
      <c r="AF23" s="85"/>
      <c r="AG23" s="85"/>
      <c r="AH23" s="86"/>
      <c r="AI23" s="84"/>
      <c r="AJ23" s="85"/>
      <c r="AK23" s="85"/>
      <c r="AL23" s="85"/>
      <c r="AM23" s="86"/>
      <c r="AN23" s="84"/>
      <c r="AO23" s="85"/>
      <c r="AP23" s="85"/>
      <c r="AQ23" s="85"/>
      <c r="AR23" s="86"/>
      <c r="AS23" s="84"/>
      <c r="AT23" s="85"/>
      <c r="AU23" s="85"/>
      <c r="AV23" s="85"/>
      <c r="AW23" s="86"/>
      <c r="AX23" s="84"/>
      <c r="AY23" s="85"/>
      <c r="AZ23" s="85"/>
      <c r="BA23" s="85"/>
      <c r="BB23" s="86"/>
      <c r="BC23" s="84"/>
      <c r="BD23" s="85"/>
      <c r="BE23" s="85"/>
      <c r="BF23" s="85"/>
      <c r="BG23" s="86"/>
      <c r="BH23" s="84"/>
      <c r="BI23" s="85"/>
      <c r="BJ23" s="85"/>
      <c r="BK23" s="85"/>
      <c r="BL23" s="86"/>
      <c r="BM23" s="84"/>
      <c r="BN23" s="85"/>
      <c r="BO23" s="85"/>
      <c r="BP23" s="85"/>
      <c r="BQ23" s="86"/>
      <c r="BR23" s="46" t="str">
        <f>IF(SUM(J23:BQ23)&gt;0,SUM(J23:BQ23),"")</f>
        <v/>
      </c>
      <c r="BS23" s="113">
        <f>H23-SUM(J25:BQ25)</f>
        <v>34.5</v>
      </c>
      <c r="BT23" s="98"/>
      <c r="BU23" s="2"/>
      <c r="BV23" s="21">
        <v>40360</v>
      </c>
    </row>
    <row r="24" spans="1:76">
      <c r="A24" s="2"/>
      <c r="B24" s="105"/>
      <c r="C24" s="108"/>
      <c r="D24" s="55"/>
      <c r="E24" s="27"/>
      <c r="F24" s="111"/>
      <c r="G24" s="111"/>
      <c r="H24" s="114"/>
      <c r="I24" s="28"/>
      <c r="J24" s="53">
        <v>4</v>
      </c>
      <c r="K24" s="53">
        <v>10</v>
      </c>
      <c r="L24" s="53"/>
      <c r="M24" s="53"/>
      <c r="N24" s="53"/>
      <c r="O24" s="53" t="s">
        <v>94</v>
      </c>
      <c r="P24" s="53"/>
      <c r="Q24" s="53"/>
      <c r="R24" s="53"/>
      <c r="S24" s="53"/>
      <c r="T24" s="54"/>
      <c r="U24" s="54"/>
      <c r="V24" s="54"/>
      <c r="W24" s="54"/>
      <c r="X24" s="54"/>
      <c r="Y24" s="54"/>
      <c r="Z24" s="54"/>
      <c r="AA24" s="54"/>
      <c r="AB24" s="54"/>
      <c r="AC24" s="54"/>
      <c r="AD24" s="54"/>
      <c r="AE24" s="54"/>
      <c r="AF24" s="54"/>
      <c r="AG24" s="54"/>
      <c r="AH24" s="54"/>
      <c r="AI24" s="54"/>
      <c r="AJ24" s="54"/>
      <c r="AK24" s="54"/>
      <c r="AL24" s="54"/>
      <c r="AM24" s="54"/>
      <c r="AN24" s="54"/>
      <c r="AO24" s="54"/>
      <c r="AP24" s="54"/>
      <c r="AQ24" s="54"/>
      <c r="AR24" s="54"/>
      <c r="AS24" s="54"/>
      <c r="AT24" s="54"/>
      <c r="AU24" s="54"/>
      <c r="AV24" s="54"/>
      <c r="AW24" s="54"/>
      <c r="AX24" s="54">
        <v>19</v>
      </c>
      <c r="AY24" s="54"/>
      <c r="AZ24" s="54"/>
      <c r="BA24" s="54"/>
      <c r="BB24" s="54"/>
      <c r="BC24" s="54" t="s">
        <v>67</v>
      </c>
      <c r="BD24" s="54" t="s">
        <v>88</v>
      </c>
      <c r="BE24" s="54"/>
      <c r="BF24" s="54"/>
      <c r="BG24" s="54"/>
      <c r="BH24" s="54"/>
      <c r="BI24" s="54"/>
      <c r="BJ24" s="54"/>
      <c r="BK24" s="54"/>
      <c r="BL24" s="54"/>
      <c r="BM24" s="54">
        <v>18</v>
      </c>
      <c r="BN24" s="54"/>
      <c r="BO24" s="54"/>
      <c r="BP24" s="54"/>
      <c r="BQ24" s="54"/>
      <c r="BR24" s="56"/>
      <c r="BS24" s="114"/>
      <c r="BT24" s="99"/>
      <c r="BU24" s="2"/>
      <c r="BV24" s="21"/>
    </row>
    <row r="25" spans="1:76">
      <c r="A25" s="2"/>
      <c r="B25" s="106"/>
      <c r="C25" s="109"/>
      <c r="D25" s="45">
        <f>IF(BV23&gt;0,DATEDIF(BV23,$BV$1,"YM"),"")</f>
        <v>9</v>
      </c>
      <c r="E25" s="1" t="s">
        <v>23</v>
      </c>
      <c r="F25" s="112"/>
      <c r="G25" s="112"/>
      <c r="H25" s="115"/>
      <c r="I25" s="20" t="s">
        <v>24</v>
      </c>
      <c r="J25" s="93">
        <v>2</v>
      </c>
      <c r="K25" s="94"/>
      <c r="L25" s="94"/>
      <c r="M25" s="94"/>
      <c r="N25" s="95"/>
      <c r="O25" s="93">
        <v>0.5</v>
      </c>
      <c r="P25" s="94"/>
      <c r="Q25" s="94"/>
      <c r="R25" s="94"/>
      <c r="S25" s="95"/>
      <c r="T25" s="87"/>
      <c r="U25" s="88"/>
      <c r="V25" s="88"/>
      <c r="W25" s="88"/>
      <c r="X25" s="89"/>
      <c r="Y25" s="87"/>
      <c r="Z25" s="88"/>
      <c r="AA25" s="88"/>
      <c r="AB25" s="88"/>
      <c r="AC25" s="89"/>
      <c r="AD25" s="87"/>
      <c r="AE25" s="88"/>
      <c r="AF25" s="88"/>
      <c r="AG25" s="88"/>
      <c r="AH25" s="89"/>
      <c r="AI25" s="87"/>
      <c r="AJ25" s="88"/>
      <c r="AK25" s="88"/>
      <c r="AL25" s="88"/>
      <c r="AM25" s="89"/>
      <c r="AN25" s="87"/>
      <c r="AO25" s="88"/>
      <c r="AP25" s="88"/>
      <c r="AQ25" s="88"/>
      <c r="AR25" s="89"/>
      <c r="AS25" s="87"/>
      <c r="AT25" s="88"/>
      <c r="AU25" s="88"/>
      <c r="AV25" s="88"/>
      <c r="AW25" s="89"/>
      <c r="AX25" s="87">
        <v>1</v>
      </c>
      <c r="AY25" s="88"/>
      <c r="AZ25" s="88"/>
      <c r="BA25" s="88"/>
      <c r="BB25" s="89"/>
      <c r="BC25" s="87">
        <v>1</v>
      </c>
      <c r="BD25" s="88"/>
      <c r="BE25" s="88"/>
      <c r="BF25" s="88"/>
      <c r="BG25" s="89"/>
      <c r="BH25" s="87"/>
      <c r="BI25" s="88"/>
      <c r="BJ25" s="88"/>
      <c r="BK25" s="88"/>
      <c r="BL25" s="89"/>
      <c r="BM25" s="87">
        <v>1</v>
      </c>
      <c r="BN25" s="88"/>
      <c r="BO25" s="88"/>
      <c r="BP25" s="88"/>
      <c r="BQ25" s="89"/>
      <c r="BR25" s="47">
        <f>IF(SUM(J25:BQ25)&gt;0,SUM(J25:BQ25),"")</f>
        <v>5.5</v>
      </c>
      <c r="BS25" s="115"/>
      <c r="BT25" s="100"/>
      <c r="BU25" s="2"/>
      <c r="BV25" s="57" t="str">
        <f>IF(ISBLANK(BV23),"",DATEDIF(BV23,$BV$1,"Y")&amp;"年"&amp;DATEDIF(BV23,$BV$1,"YM")&amp;"ヶ月")</f>
        <v>8年9ヶ月</v>
      </c>
      <c r="BW25">
        <f>IF(BR23="",BR25,BR23+BR25)</f>
        <v>5.5</v>
      </c>
      <c r="BX25">
        <f>H23-BW25</f>
        <v>34.5</v>
      </c>
    </row>
    <row r="26" spans="1:76">
      <c r="A26" s="2"/>
      <c r="B26" s="104" t="s">
        <v>95</v>
      </c>
      <c r="C26" s="107" t="s">
        <v>32</v>
      </c>
      <c r="D26" s="44">
        <f>IF(BV26&gt;0,DATEDIF(BV26,$BV$1,"Y"),"")</f>
        <v>21</v>
      </c>
      <c r="E26" s="18" t="s">
        <v>3</v>
      </c>
      <c r="F26" s="110">
        <v>20</v>
      </c>
      <c r="G26" s="110">
        <v>20</v>
      </c>
      <c r="H26" s="113">
        <f>SUM(F26:G28)</f>
        <v>40</v>
      </c>
      <c r="I26" s="19" t="s">
        <v>22</v>
      </c>
      <c r="J26" s="90"/>
      <c r="K26" s="91"/>
      <c r="L26" s="91"/>
      <c r="M26" s="91"/>
      <c r="N26" s="92"/>
      <c r="O26" s="90"/>
      <c r="P26" s="91"/>
      <c r="Q26" s="91"/>
      <c r="R26" s="91"/>
      <c r="S26" s="92"/>
      <c r="T26" s="84"/>
      <c r="U26" s="85"/>
      <c r="V26" s="85"/>
      <c r="W26" s="85"/>
      <c r="X26" s="86"/>
      <c r="Y26" s="84"/>
      <c r="Z26" s="85"/>
      <c r="AA26" s="85"/>
      <c r="AB26" s="85"/>
      <c r="AC26" s="86"/>
      <c r="AD26" s="84"/>
      <c r="AE26" s="85"/>
      <c r="AF26" s="85"/>
      <c r="AG26" s="85"/>
      <c r="AH26" s="86"/>
      <c r="AI26" s="84"/>
      <c r="AJ26" s="85"/>
      <c r="AK26" s="85"/>
      <c r="AL26" s="85"/>
      <c r="AM26" s="86"/>
      <c r="AN26" s="84"/>
      <c r="AO26" s="85"/>
      <c r="AP26" s="85"/>
      <c r="AQ26" s="85"/>
      <c r="AR26" s="86"/>
      <c r="AS26" s="84"/>
      <c r="AT26" s="85"/>
      <c r="AU26" s="85"/>
      <c r="AV26" s="85"/>
      <c r="AW26" s="86"/>
      <c r="AX26" s="84"/>
      <c r="AY26" s="85"/>
      <c r="AZ26" s="85"/>
      <c r="BA26" s="85"/>
      <c r="BB26" s="86"/>
      <c r="BC26" s="84"/>
      <c r="BD26" s="85"/>
      <c r="BE26" s="85"/>
      <c r="BF26" s="85"/>
      <c r="BG26" s="86"/>
      <c r="BH26" s="84"/>
      <c r="BI26" s="85"/>
      <c r="BJ26" s="85"/>
      <c r="BK26" s="85"/>
      <c r="BL26" s="86"/>
      <c r="BM26" s="84"/>
      <c r="BN26" s="85"/>
      <c r="BO26" s="85"/>
      <c r="BP26" s="85"/>
      <c r="BQ26" s="86"/>
      <c r="BR26" s="46" t="str">
        <f>IF(SUM(J26:BQ26)&gt;0,SUM(J26:BQ26),"")</f>
        <v/>
      </c>
      <c r="BS26" s="113">
        <f>H26-SUM(J28:BQ28)</f>
        <v>31.5</v>
      </c>
      <c r="BT26" s="98"/>
      <c r="BU26" s="2"/>
      <c r="BV26" s="21">
        <v>35886</v>
      </c>
    </row>
    <row r="27" spans="1:76">
      <c r="A27" s="2"/>
      <c r="B27" s="105"/>
      <c r="C27" s="108"/>
      <c r="D27" s="55"/>
      <c r="E27" s="27"/>
      <c r="F27" s="111"/>
      <c r="G27" s="111"/>
      <c r="H27" s="114"/>
      <c r="I27" s="28"/>
      <c r="J27" s="51"/>
      <c r="K27" s="51"/>
      <c r="L27" s="51"/>
      <c r="M27" s="51"/>
      <c r="N27" s="51"/>
      <c r="O27" s="51" t="s">
        <v>96</v>
      </c>
      <c r="P27" s="51"/>
      <c r="Q27" s="51"/>
      <c r="R27" s="51"/>
      <c r="S27" s="51"/>
      <c r="T27" s="52"/>
      <c r="U27" s="52"/>
      <c r="V27" s="52"/>
      <c r="W27" s="52"/>
      <c r="X27" s="52"/>
      <c r="Y27" s="52">
        <v>18</v>
      </c>
      <c r="Z27" s="52">
        <v>26</v>
      </c>
      <c r="AA27" s="52"/>
      <c r="AB27" s="52"/>
      <c r="AC27" s="52"/>
      <c r="AD27" s="52">
        <v>16</v>
      </c>
      <c r="AE27" s="52"/>
      <c r="AF27" s="52"/>
      <c r="AG27" s="52"/>
      <c r="AH27" s="52"/>
      <c r="AI27" s="52"/>
      <c r="AJ27" s="52"/>
      <c r="AK27" s="52"/>
      <c r="AL27" s="52"/>
      <c r="AM27" s="52"/>
      <c r="AN27" s="52">
        <v>7</v>
      </c>
      <c r="AO27" s="52">
        <v>8</v>
      </c>
      <c r="AP27" s="52"/>
      <c r="AQ27" s="52"/>
      <c r="AR27" s="52"/>
      <c r="AS27" s="52">
        <v>14</v>
      </c>
      <c r="AT27" s="52">
        <v>20</v>
      </c>
      <c r="AU27" s="52"/>
      <c r="AV27" s="52"/>
      <c r="AW27" s="52"/>
      <c r="AX27" s="52"/>
      <c r="AY27" s="52"/>
      <c r="AZ27" s="52"/>
      <c r="BA27" s="52"/>
      <c r="BB27" s="52"/>
      <c r="BC27" s="52"/>
      <c r="BD27" s="52"/>
      <c r="BE27" s="52"/>
      <c r="BF27" s="52"/>
      <c r="BG27" s="52"/>
      <c r="BH27" s="52">
        <v>10</v>
      </c>
      <c r="BI27" s="52"/>
      <c r="BJ27" s="52"/>
      <c r="BK27" s="52"/>
      <c r="BL27" s="52"/>
      <c r="BM27" s="52"/>
      <c r="BN27" s="52"/>
      <c r="BO27" s="52"/>
      <c r="BP27" s="52"/>
      <c r="BQ27" s="52"/>
      <c r="BR27" s="56"/>
      <c r="BS27" s="114"/>
      <c r="BT27" s="99"/>
      <c r="BU27" s="2"/>
      <c r="BV27" s="21"/>
    </row>
    <row r="28" spans="1:76">
      <c r="A28" s="2"/>
      <c r="B28" s="106"/>
      <c r="C28" s="109"/>
      <c r="D28" s="45">
        <f>IF(BV26&gt;0,DATEDIF(BV26,$BV$1,"YM"),"")</f>
        <v>0</v>
      </c>
      <c r="E28" s="1" t="s">
        <v>23</v>
      </c>
      <c r="F28" s="112"/>
      <c r="G28" s="112"/>
      <c r="H28" s="115"/>
      <c r="I28" s="20" t="s">
        <v>24</v>
      </c>
      <c r="J28" s="93"/>
      <c r="K28" s="94"/>
      <c r="L28" s="94"/>
      <c r="M28" s="94"/>
      <c r="N28" s="95"/>
      <c r="O28" s="93">
        <v>0.5</v>
      </c>
      <c r="P28" s="94"/>
      <c r="Q28" s="94"/>
      <c r="R28" s="94"/>
      <c r="S28" s="95"/>
      <c r="T28" s="87"/>
      <c r="U28" s="88"/>
      <c r="V28" s="88"/>
      <c r="W28" s="88"/>
      <c r="X28" s="89"/>
      <c r="Y28" s="87">
        <v>2</v>
      </c>
      <c r="Z28" s="88"/>
      <c r="AA28" s="88"/>
      <c r="AB28" s="88"/>
      <c r="AC28" s="89"/>
      <c r="AD28" s="87">
        <v>1</v>
      </c>
      <c r="AE28" s="88"/>
      <c r="AF28" s="88"/>
      <c r="AG28" s="88"/>
      <c r="AH28" s="89"/>
      <c r="AI28" s="87"/>
      <c r="AJ28" s="88"/>
      <c r="AK28" s="88"/>
      <c r="AL28" s="88"/>
      <c r="AM28" s="89"/>
      <c r="AN28" s="87">
        <v>2</v>
      </c>
      <c r="AO28" s="88"/>
      <c r="AP28" s="88"/>
      <c r="AQ28" s="88"/>
      <c r="AR28" s="89"/>
      <c r="AS28" s="87">
        <v>2</v>
      </c>
      <c r="AT28" s="88"/>
      <c r="AU28" s="88"/>
      <c r="AV28" s="88"/>
      <c r="AW28" s="89"/>
      <c r="AX28" s="87"/>
      <c r="AY28" s="88"/>
      <c r="AZ28" s="88"/>
      <c r="BA28" s="88"/>
      <c r="BB28" s="89"/>
      <c r="BC28" s="87"/>
      <c r="BD28" s="88"/>
      <c r="BE28" s="88"/>
      <c r="BF28" s="88"/>
      <c r="BG28" s="89"/>
      <c r="BH28" s="87">
        <v>1</v>
      </c>
      <c r="BI28" s="88"/>
      <c r="BJ28" s="88"/>
      <c r="BK28" s="88"/>
      <c r="BL28" s="89"/>
      <c r="BM28" s="87"/>
      <c r="BN28" s="88"/>
      <c r="BO28" s="88"/>
      <c r="BP28" s="88"/>
      <c r="BQ28" s="89"/>
      <c r="BR28" s="47">
        <f>IF(SUM(J28:BQ28)&gt;0,SUM(J28:BQ28),"")</f>
        <v>8.5</v>
      </c>
      <c r="BS28" s="115"/>
      <c r="BT28" s="100"/>
      <c r="BU28" s="2"/>
      <c r="BV28" s="57" t="str">
        <f>IF(ISBLANK(BV26),"",DATEDIF(BV26,$BV$1,"Y")&amp;"年"&amp;DATEDIF(BV26,$BV$1,"YM")&amp;"ヶ月")</f>
        <v>21年0ヶ月</v>
      </c>
      <c r="BW28">
        <f>IF(BR26="",BR28,BR26+BR28)</f>
        <v>8.5</v>
      </c>
      <c r="BX28">
        <f>H26-BW28</f>
        <v>31.5</v>
      </c>
    </row>
    <row r="29" spans="1:76">
      <c r="A29" s="2"/>
      <c r="B29" s="104" t="s">
        <v>97</v>
      </c>
      <c r="C29" s="107" t="s">
        <v>98</v>
      </c>
      <c r="D29" s="44">
        <f>IF(BV29&gt;0,DATEDIF(BV29,$BV$1,"Y"),"")</f>
        <v>1</v>
      </c>
      <c r="E29" s="18" t="s">
        <v>3</v>
      </c>
      <c r="F29" s="110">
        <v>1.5</v>
      </c>
      <c r="G29" s="110">
        <v>12</v>
      </c>
      <c r="H29" s="113">
        <f>SUM(F29:G31)</f>
        <v>13.5</v>
      </c>
      <c r="I29" s="19" t="s">
        <v>22</v>
      </c>
      <c r="J29" s="90"/>
      <c r="K29" s="91"/>
      <c r="L29" s="91"/>
      <c r="M29" s="91"/>
      <c r="N29" s="92"/>
      <c r="O29" s="90"/>
      <c r="P29" s="91"/>
      <c r="Q29" s="91"/>
      <c r="R29" s="91"/>
      <c r="S29" s="92"/>
      <c r="T29" s="84"/>
      <c r="U29" s="85"/>
      <c r="V29" s="85"/>
      <c r="W29" s="85"/>
      <c r="X29" s="86"/>
      <c r="Y29" s="84"/>
      <c r="Z29" s="85"/>
      <c r="AA29" s="85"/>
      <c r="AB29" s="85"/>
      <c r="AC29" s="86"/>
      <c r="AD29" s="84"/>
      <c r="AE29" s="85"/>
      <c r="AF29" s="85"/>
      <c r="AG29" s="85"/>
      <c r="AH29" s="86"/>
      <c r="AI29" s="84"/>
      <c r="AJ29" s="85"/>
      <c r="AK29" s="85"/>
      <c r="AL29" s="85"/>
      <c r="AM29" s="86"/>
      <c r="AN29" s="84"/>
      <c r="AO29" s="85"/>
      <c r="AP29" s="85"/>
      <c r="AQ29" s="85"/>
      <c r="AR29" s="86"/>
      <c r="AS29" s="84"/>
      <c r="AT29" s="85"/>
      <c r="AU29" s="85"/>
      <c r="AV29" s="85"/>
      <c r="AW29" s="86"/>
      <c r="AX29" s="84"/>
      <c r="AY29" s="85"/>
      <c r="AZ29" s="85"/>
      <c r="BA29" s="85"/>
      <c r="BB29" s="86"/>
      <c r="BC29" s="84"/>
      <c r="BD29" s="85"/>
      <c r="BE29" s="85"/>
      <c r="BF29" s="85"/>
      <c r="BG29" s="86"/>
      <c r="BH29" s="84"/>
      <c r="BI29" s="85"/>
      <c r="BJ29" s="85"/>
      <c r="BK29" s="85"/>
      <c r="BL29" s="86"/>
      <c r="BM29" s="84"/>
      <c r="BN29" s="85"/>
      <c r="BO29" s="85"/>
      <c r="BP29" s="85"/>
      <c r="BQ29" s="86"/>
      <c r="BR29" s="46" t="str">
        <f>IF(SUM(J29:BQ29)&gt;0,SUM(J29:BQ29),"")</f>
        <v/>
      </c>
      <c r="BS29" s="113">
        <f>H29-SUM(J31:BQ31)</f>
        <v>6</v>
      </c>
      <c r="BT29" s="98"/>
      <c r="BU29" s="2"/>
      <c r="BV29" s="21">
        <v>42917</v>
      </c>
    </row>
    <row r="30" spans="1:76">
      <c r="A30" s="2"/>
      <c r="B30" s="105"/>
      <c r="C30" s="108"/>
      <c r="D30" s="55"/>
      <c r="E30" s="27"/>
      <c r="F30" s="111"/>
      <c r="G30" s="111"/>
      <c r="H30" s="114"/>
      <c r="I30" s="28"/>
      <c r="J30" s="53"/>
      <c r="K30" s="53"/>
      <c r="L30" s="53"/>
      <c r="M30" s="53"/>
      <c r="N30" s="53"/>
      <c r="O30" s="53" t="s">
        <v>58</v>
      </c>
      <c r="P30" s="53"/>
      <c r="Q30" s="53"/>
      <c r="R30" s="53"/>
      <c r="S30" s="53"/>
      <c r="T30" s="54" t="s">
        <v>99</v>
      </c>
      <c r="U30" s="54" t="s">
        <v>91</v>
      </c>
      <c r="V30" s="54"/>
      <c r="W30" s="54"/>
      <c r="X30" s="54"/>
      <c r="Y30" s="54"/>
      <c r="Z30" s="54"/>
      <c r="AA30" s="54"/>
      <c r="AB30" s="54"/>
      <c r="AC30" s="54"/>
      <c r="AD30" s="54"/>
      <c r="AE30" s="54"/>
      <c r="AF30" s="54"/>
      <c r="AG30" s="54"/>
      <c r="AH30" s="54"/>
      <c r="AI30" s="54"/>
      <c r="AJ30" s="54"/>
      <c r="AK30" s="54"/>
      <c r="AL30" s="54"/>
      <c r="AM30" s="54"/>
      <c r="AN30" s="54">
        <v>7</v>
      </c>
      <c r="AO30" s="54" t="s">
        <v>100</v>
      </c>
      <c r="AP30" s="54" t="s">
        <v>101</v>
      </c>
      <c r="AQ30" s="54"/>
      <c r="AR30" s="54"/>
      <c r="AS30" s="54">
        <v>28</v>
      </c>
      <c r="AT30" s="54">
        <v>29</v>
      </c>
      <c r="AU30" s="54"/>
      <c r="AV30" s="54"/>
      <c r="AW30" s="54"/>
      <c r="AX30" s="54" t="s">
        <v>88</v>
      </c>
      <c r="AY30" s="54" t="s">
        <v>102</v>
      </c>
      <c r="AZ30" s="54"/>
      <c r="BA30" s="54"/>
      <c r="BB30" s="54"/>
      <c r="BC30" s="54">
        <v>6</v>
      </c>
      <c r="BD30" s="54"/>
      <c r="BE30" s="54"/>
      <c r="BF30" s="54"/>
      <c r="BG30" s="54"/>
      <c r="BH30" s="54"/>
      <c r="BI30" s="54"/>
      <c r="BJ30" s="54"/>
      <c r="BK30" s="54"/>
      <c r="BL30" s="54"/>
      <c r="BM30" s="54"/>
      <c r="BN30" s="54"/>
      <c r="BO30" s="54"/>
      <c r="BP30" s="54"/>
      <c r="BQ30" s="54"/>
      <c r="BR30" s="56"/>
      <c r="BS30" s="114"/>
      <c r="BT30" s="99"/>
      <c r="BU30" s="2"/>
      <c r="BV30" s="21"/>
    </row>
    <row r="31" spans="1:76">
      <c r="A31" s="2"/>
      <c r="B31" s="106"/>
      <c r="C31" s="109"/>
      <c r="D31" s="45">
        <f>IF(BV29&gt;0,DATEDIF(BV29,$BV$1,"YM"),"")</f>
        <v>9</v>
      </c>
      <c r="E31" s="1" t="s">
        <v>23</v>
      </c>
      <c r="F31" s="112"/>
      <c r="G31" s="112"/>
      <c r="H31" s="115"/>
      <c r="I31" s="20" t="s">
        <v>24</v>
      </c>
      <c r="J31" s="93"/>
      <c r="K31" s="94"/>
      <c r="L31" s="94"/>
      <c r="M31" s="94"/>
      <c r="N31" s="95"/>
      <c r="O31" s="93">
        <v>0.5</v>
      </c>
      <c r="P31" s="94"/>
      <c r="Q31" s="94"/>
      <c r="R31" s="94"/>
      <c r="S31" s="95"/>
      <c r="T31" s="87">
        <v>1</v>
      </c>
      <c r="U31" s="88"/>
      <c r="V31" s="88"/>
      <c r="W31" s="88"/>
      <c r="X31" s="89"/>
      <c r="Y31" s="87"/>
      <c r="Z31" s="88"/>
      <c r="AA31" s="88"/>
      <c r="AB31" s="88"/>
      <c r="AC31" s="89"/>
      <c r="AD31" s="87"/>
      <c r="AE31" s="88"/>
      <c r="AF31" s="88"/>
      <c r="AG31" s="88"/>
      <c r="AH31" s="89"/>
      <c r="AI31" s="87"/>
      <c r="AJ31" s="88"/>
      <c r="AK31" s="88"/>
      <c r="AL31" s="88"/>
      <c r="AM31" s="89"/>
      <c r="AN31" s="87">
        <v>2</v>
      </c>
      <c r="AO31" s="88"/>
      <c r="AP31" s="88"/>
      <c r="AQ31" s="88"/>
      <c r="AR31" s="89"/>
      <c r="AS31" s="87">
        <v>2</v>
      </c>
      <c r="AT31" s="88"/>
      <c r="AU31" s="88"/>
      <c r="AV31" s="88"/>
      <c r="AW31" s="89"/>
      <c r="AX31" s="87">
        <v>1</v>
      </c>
      <c r="AY31" s="88"/>
      <c r="AZ31" s="88"/>
      <c r="BA31" s="88"/>
      <c r="BB31" s="89"/>
      <c r="BC31" s="87">
        <v>1</v>
      </c>
      <c r="BD31" s="88"/>
      <c r="BE31" s="88"/>
      <c r="BF31" s="88"/>
      <c r="BG31" s="89"/>
      <c r="BH31" s="87"/>
      <c r="BI31" s="88"/>
      <c r="BJ31" s="88"/>
      <c r="BK31" s="88"/>
      <c r="BL31" s="89"/>
      <c r="BM31" s="87"/>
      <c r="BN31" s="88"/>
      <c r="BO31" s="88"/>
      <c r="BP31" s="88"/>
      <c r="BQ31" s="89"/>
      <c r="BR31" s="47">
        <f>IF(SUM(J31:BQ31)&gt;0,SUM(J31:BQ31),"")</f>
        <v>7.5</v>
      </c>
      <c r="BS31" s="115"/>
      <c r="BT31" s="100"/>
      <c r="BU31" s="2"/>
      <c r="BV31" s="57" t="str">
        <f>IF(ISBLANK(BV29),"",DATEDIF(BV29,$BV$1,"Y")&amp;"年"&amp;DATEDIF(BV29,$BV$1,"YM")&amp;"ヶ月")</f>
        <v>1年9ヶ月</v>
      </c>
      <c r="BW31">
        <f>IF(BR29="",BR31,BR29+BR31)</f>
        <v>7.5</v>
      </c>
      <c r="BX31">
        <f>H29-BW31</f>
        <v>6</v>
      </c>
    </row>
    <row r="32" spans="1:76">
      <c r="A32" s="2"/>
      <c r="B32" s="104" t="s">
        <v>103</v>
      </c>
      <c r="C32" s="107" t="s">
        <v>104</v>
      </c>
      <c r="D32" s="44">
        <f>IF(BV32&gt;0,DATEDIF(BV32,$BV$1,"Y"),"")</f>
        <v>1</v>
      </c>
      <c r="E32" s="18" t="s">
        <v>3</v>
      </c>
      <c r="F32" s="110">
        <v>0</v>
      </c>
      <c r="G32" s="110">
        <v>11</v>
      </c>
      <c r="H32" s="113">
        <f>SUM(F32:G34)</f>
        <v>11</v>
      </c>
      <c r="I32" s="19" t="s">
        <v>22</v>
      </c>
      <c r="J32" s="90"/>
      <c r="K32" s="91"/>
      <c r="L32" s="91"/>
      <c r="M32" s="91"/>
      <c r="N32" s="92"/>
      <c r="O32" s="90"/>
      <c r="P32" s="91"/>
      <c r="Q32" s="91"/>
      <c r="R32" s="91"/>
      <c r="S32" s="92"/>
      <c r="T32" s="84"/>
      <c r="U32" s="85"/>
      <c r="V32" s="85"/>
      <c r="W32" s="85"/>
      <c r="X32" s="86"/>
      <c r="Y32" s="84"/>
      <c r="Z32" s="85"/>
      <c r="AA32" s="85"/>
      <c r="AB32" s="85"/>
      <c r="AC32" s="86"/>
      <c r="AD32" s="84"/>
      <c r="AE32" s="85"/>
      <c r="AF32" s="85"/>
      <c r="AG32" s="85"/>
      <c r="AH32" s="86"/>
      <c r="AI32" s="84"/>
      <c r="AJ32" s="85"/>
      <c r="AK32" s="85"/>
      <c r="AL32" s="85"/>
      <c r="AM32" s="86"/>
      <c r="AN32" s="84"/>
      <c r="AO32" s="85"/>
      <c r="AP32" s="85"/>
      <c r="AQ32" s="85"/>
      <c r="AR32" s="86"/>
      <c r="AS32" s="84"/>
      <c r="AT32" s="85"/>
      <c r="AU32" s="85"/>
      <c r="AV32" s="85"/>
      <c r="AW32" s="86"/>
      <c r="AX32" s="84"/>
      <c r="AY32" s="85"/>
      <c r="AZ32" s="85"/>
      <c r="BA32" s="85"/>
      <c r="BB32" s="86"/>
      <c r="BC32" s="84"/>
      <c r="BD32" s="85"/>
      <c r="BE32" s="85"/>
      <c r="BF32" s="85"/>
      <c r="BG32" s="86"/>
      <c r="BH32" s="84"/>
      <c r="BI32" s="85"/>
      <c r="BJ32" s="85"/>
      <c r="BK32" s="85"/>
      <c r="BL32" s="86"/>
      <c r="BM32" s="84"/>
      <c r="BN32" s="85"/>
      <c r="BO32" s="85"/>
      <c r="BP32" s="85"/>
      <c r="BQ32" s="86"/>
      <c r="BR32" s="46" t="str">
        <f>IF(SUM(J32:BQ32)&gt;0,SUM(J32:BQ32),"")</f>
        <v/>
      </c>
      <c r="BS32" s="113">
        <f>H32-SUM(J34:BQ34)</f>
        <v>5</v>
      </c>
      <c r="BT32" s="98"/>
      <c r="BU32" s="2"/>
      <c r="BV32" s="21">
        <v>43191</v>
      </c>
    </row>
    <row r="33" spans="1:76">
      <c r="A33" s="2"/>
      <c r="B33" s="105"/>
      <c r="C33" s="108"/>
      <c r="D33" s="55"/>
      <c r="E33" s="27"/>
      <c r="F33" s="111"/>
      <c r="G33" s="111"/>
      <c r="H33" s="114"/>
      <c r="I33" s="28"/>
      <c r="J33" s="53" t="s">
        <v>105</v>
      </c>
      <c r="K33" s="53" t="s">
        <v>106</v>
      </c>
      <c r="L33" s="53"/>
      <c r="M33" s="53"/>
      <c r="N33" s="53"/>
      <c r="O33" s="53"/>
      <c r="P33" s="53"/>
      <c r="Q33" s="53"/>
      <c r="R33" s="53"/>
      <c r="S33" s="53"/>
      <c r="T33" s="54"/>
      <c r="U33" s="54"/>
      <c r="V33" s="54"/>
      <c r="W33" s="54"/>
      <c r="X33" s="54"/>
      <c r="Y33" s="54"/>
      <c r="Z33" s="54"/>
      <c r="AA33" s="54"/>
      <c r="AB33" s="54"/>
      <c r="AC33" s="54"/>
      <c r="AD33" s="54"/>
      <c r="AE33" s="54"/>
      <c r="AF33" s="54"/>
      <c r="AG33" s="54"/>
      <c r="AH33" s="54"/>
      <c r="AI33" s="54"/>
      <c r="AJ33" s="54"/>
      <c r="AK33" s="54"/>
      <c r="AL33" s="54"/>
      <c r="AM33" s="54"/>
      <c r="AN33" s="54"/>
      <c r="AO33" s="54"/>
      <c r="AP33" s="54"/>
      <c r="AQ33" s="54"/>
      <c r="AR33" s="54"/>
      <c r="AS33" s="54">
        <v>18</v>
      </c>
      <c r="AT33" s="54">
        <v>19</v>
      </c>
      <c r="AU33" s="54">
        <v>20</v>
      </c>
      <c r="AV33" s="54"/>
      <c r="AW33" s="54"/>
      <c r="AX33" s="54"/>
      <c r="AY33" s="54"/>
      <c r="AZ33" s="54"/>
      <c r="BA33" s="54"/>
      <c r="BB33" s="54"/>
      <c r="BC33" s="54" t="s">
        <v>79</v>
      </c>
      <c r="BD33" s="54">
        <v>31</v>
      </c>
      <c r="BE33" s="54"/>
      <c r="BF33" s="54"/>
      <c r="BG33" s="54"/>
      <c r="BH33" s="54">
        <v>17</v>
      </c>
      <c r="BI33" s="54"/>
      <c r="BJ33" s="54"/>
      <c r="BK33" s="54"/>
      <c r="BL33" s="54"/>
      <c r="BM33" s="54"/>
      <c r="BN33" s="54"/>
      <c r="BO33" s="54"/>
      <c r="BP33" s="54"/>
      <c r="BQ33" s="54"/>
      <c r="BR33" s="56"/>
      <c r="BS33" s="114"/>
      <c r="BT33" s="99"/>
      <c r="BU33" s="2"/>
      <c r="BV33" s="21"/>
    </row>
    <row r="34" spans="1:76">
      <c r="A34" s="2"/>
      <c r="B34" s="106"/>
      <c r="C34" s="109"/>
      <c r="D34" s="45">
        <f>IF(BV32&gt;0,DATEDIF(BV32,$BV$1,"YM"),"")</f>
        <v>0</v>
      </c>
      <c r="E34" s="1" t="s">
        <v>23</v>
      </c>
      <c r="F34" s="112"/>
      <c r="G34" s="112"/>
      <c r="H34" s="115"/>
      <c r="I34" s="20" t="s">
        <v>24</v>
      </c>
      <c r="J34" s="93">
        <v>1</v>
      </c>
      <c r="K34" s="94"/>
      <c r="L34" s="94"/>
      <c r="M34" s="94"/>
      <c r="N34" s="95"/>
      <c r="O34" s="93"/>
      <c r="P34" s="94"/>
      <c r="Q34" s="94"/>
      <c r="R34" s="94"/>
      <c r="S34" s="95"/>
      <c r="T34" s="87"/>
      <c r="U34" s="88"/>
      <c r="V34" s="88"/>
      <c r="W34" s="88"/>
      <c r="X34" s="89"/>
      <c r="Y34" s="87"/>
      <c r="Z34" s="88"/>
      <c r="AA34" s="88"/>
      <c r="AB34" s="88"/>
      <c r="AC34" s="89"/>
      <c r="AD34" s="87"/>
      <c r="AE34" s="88"/>
      <c r="AF34" s="88"/>
      <c r="AG34" s="88"/>
      <c r="AH34" s="89"/>
      <c r="AI34" s="87"/>
      <c r="AJ34" s="88"/>
      <c r="AK34" s="88"/>
      <c r="AL34" s="88"/>
      <c r="AM34" s="89"/>
      <c r="AN34" s="87"/>
      <c r="AO34" s="88"/>
      <c r="AP34" s="88"/>
      <c r="AQ34" s="88"/>
      <c r="AR34" s="89"/>
      <c r="AS34" s="87">
        <v>3</v>
      </c>
      <c r="AT34" s="88"/>
      <c r="AU34" s="88"/>
      <c r="AV34" s="88"/>
      <c r="AW34" s="89"/>
      <c r="AX34" s="87"/>
      <c r="AY34" s="88"/>
      <c r="AZ34" s="88"/>
      <c r="BA34" s="88"/>
      <c r="BB34" s="89"/>
      <c r="BC34" s="87">
        <v>1.5</v>
      </c>
      <c r="BD34" s="88"/>
      <c r="BE34" s="88"/>
      <c r="BF34" s="88"/>
      <c r="BG34" s="89"/>
      <c r="BH34" s="87">
        <v>0.5</v>
      </c>
      <c r="BI34" s="88"/>
      <c r="BJ34" s="88"/>
      <c r="BK34" s="88"/>
      <c r="BL34" s="89"/>
      <c r="BM34" s="87"/>
      <c r="BN34" s="88"/>
      <c r="BO34" s="88"/>
      <c r="BP34" s="88"/>
      <c r="BQ34" s="89"/>
      <c r="BR34" s="47">
        <f>IF(SUM(J34:BQ34)&gt;0,SUM(J34:BQ34),"")</f>
        <v>6</v>
      </c>
      <c r="BS34" s="115"/>
      <c r="BT34" s="100"/>
      <c r="BU34" s="2"/>
      <c r="BV34" s="57" t="str">
        <f>IF(ISBLANK(BV32),"",DATEDIF(BV32,$BV$1,"Y")&amp;"年"&amp;DATEDIF(BV32,$BV$1,"YM")&amp;"ヶ月")</f>
        <v>1年0ヶ月</v>
      </c>
      <c r="BW34">
        <f>IF(BR32="",BR34,BR32+BR34)</f>
        <v>6</v>
      </c>
      <c r="BX34">
        <f>H32-BW34</f>
        <v>5</v>
      </c>
    </row>
    <row r="35" spans="1:76">
      <c r="A35" s="2"/>
      <c r="B35" s="104" t="s">
        <v>107</v>
      </c>
      <c r="C35" s="107" t="s">
        <v>104</v>
      </c>
      <c r="D35" s="44">
        <f>IF(BV35&gt;0,DATEDIF(BV35,$BV$1,"Y"),"")</f>
        <v>0</v>
      </c>
      <c r="E35" s="18" t="s">
        <v>3</v>
      </c>
      <c r="F35" s="110" t="s">
        <v>108</v>
      </c>
      <c r="G35" s="110">
        <v>10</v>
      </c>
      <c r="H35" s="113">
        <f>SUM(F35:G37)</f>
        <v>10</v>
      </c>
      <c r="I35" s="19" t="s">
        <v>22</v>
      </c>
      <c r="J35" s="90"/>
      <c r="K35" s="91"/>
      <c r="L35" s="91"/>
      <c r="M35" s="91"/>
      <c r="N35" s="92"/>
      <c r="O35" s="90"/>
      <c r="P35" s="91"/>
      <c r="Q35" s="91"/>
      <c r="R35" s="91"/>
      <c r="S35" s="92"/>
      <c r="T35" s="84"/>
      <c r="U35" s="85"/>
      <c r="V35" s="85"/>
      <c r="W35" s="85"/>
      <c r="X35" s="86"/>
      <c r="Y35" s="84"/>
      <c r="Z35" s="85"/>
      <c r="AA35" s="85"/>
      <c r="AB35" s="85"/>
      <c r="AC35" s="86"/>
      <c r="AD35" s="84"/>
      <c r="AE35" s="85"/>
      <c r="AF35" s="85"/>
      <c r="AG35" s="85"/>
      <c r="AH35" s="86"/>
      <c r="AI35" s="84"/>
      <c r="AJ35" s="85"/>
      <c r="AK35" s="85"/>
      <c r="AL35" s="85"/>
      <c r="AM35" s="86"/>
      <c r="AN35" s="84"/>
      <c r="AO35" s="85"/>
      <c r="AP35" s="85"/>
      <c r="AQ35" s="85"/>
      <c r="AR35" s="86"/>
      <c r="AS35" s="84"/>
      <c r="AT35" s="85"/>
      <c r="AU35" s="85"/>
      <c r="AV35" s="85"/>
      <c r="AW35" s="86"/>
      <c r="AX35" s="84"/>
      <c r="AY35" s="85"/>
      <c r="AZ35" s="85"/>
      <c r="BA35" s="85"/>
      <c r="BB35" s="86"/>
      <c r="BC35" s="84"/>
      <c r="BD35" s="85"/>
      <c r="BE35" s="85"/>
      <c r="BF35" s="85"/>
      <c r="BG35" s="86"/>
      <c r="BH35" s="84"/>
      <c r="BI35" s="85"/>
      <c r="BJ35" s="85"/>
      <c r="BK35" s="85"/>
      <c r="BL35" s="86"/>
      <c r="BM35" s="84"/>
      <c r="BN35" s="85"/>
      <c r="BO35" s="85"/>
      <c r="BP35" s="85"/>
      <c r="BQ35" s="86"/>
      <c r="BR35" s="46" t="str">
        <f>IF(SUM(J35:BQ35)&gt;0,SUM(J35:BQ35),"")</f>
        <v/>
      </c>
      <c r="BS35" s="113">
        <f>H35-SUM(J37:BQ37)</f>
        <v>0</v>
      </c>
      <c r="BT35" s="98"/>
      <c r="BU35" s="2"/>
      <c r="BV35" s="21">
        <v>43556</v>
      </c>
    </row>
    <row r="36" spans="1:76">
      <c r="A36" s="2"/>
      <c r="B36" s="105"/>
      <c r="C36" s="108"/>
      <c r="D36" s="55"/>
      <c r="E36" s="27"/>
      <c r="F36" s="111"/>
      <c r="G36" s="111"/>
      <c r="H36" s="114"/>
      <c r="I36" s="28"/>
      <c r="J36" s="53"/>
      <c r="K36" s="53"/>
      <c r="L36" s="53"/>
      <c r="M36" s="53"/>
      <c r="N36" s="53"/>
      <c r="O36" s="53"/>
      <c r="P36" s="53"/>
      <c r="Q36" s="53"/>
      <c r="R36" s="53"/>
      <c r="S36" s="53"/>
      <c r="T36" s="54"/>
      <c r="U36" s="54"/>
      <c r="V36" s="54"/>
      <c r="W36" s="54"/>
      <c r="X36" s="54"/>
      <c r="Y36" s="54" t="s">
        <v>99</v>
      </c>
      <c r="Z36" s="54" t="s">
        <v>88</v>
      </c>
      <c r="AA36" s="54"/>
      <c r="AB36" s="54"/>
      <c r="AC36" s="54"/>
      <c r="AD36" s="54"/>
      <c r="AE36" s="54"/>
      <c r="AF36" s="54"/>
      <c r="AG36" s="54"/>
      <c r="AH36" s="54"/>
      <c r="AI36" s="54"/>
      <c r="AJ36" s="54"/>
      <c r="AK36" s="54"/>
      <c r="AL36" s="54"/>
      <c r="AM36" s="54"/>
      <c r="AN36" s="54" t="s">
        <v>68</v>
      </c>
      <c r="AO36" s="54">
        <v>16</v>
      </c>
      <c r="AP36" s="54"/>
      <c r="AQ36" s="54"/>
      <c r="AR36" s="54"/>
      <c r="AS36" s="54">
        <v>1</v>
      </c>
      <c r="AT36" s="54">
        <v>27</v>
      </c>
      <c r="AU36" s="54">
        <v>28</v>
      </c>
      <c r="AV36" s="54">
        <v>29</v>
      </c>
      <c r="AW36" s="54"/>
      <c r="AX36" s="54">
        <v>2</v>
      </c>
      <c r="AY36" s="54">
        <v>3</v>
      </c>
      <c r="AZ36" s="54">
        <v>4</v>
      </c>
      <c r="BA36" s="54" t="s">
        <v>54</v>
      </c>
      <c r="BB36" s="54"/>
      <c r="BC36" s="54"/>
      <c r="BD36" s="54"/>
      <c r="BE36" s="54"/>
      <c r="BF36" s="54"/>
      <c r="BG36" s="54"/>
      <c r="BH36" s="54"/>
      <c r="BI36" s="54"/>
      <c r="BJ36" s="54"/>
      <c r="BK36" s="54"/>
      <c r="BL36" s="54"/>
      <c r="BM36" s="54"/>
      <c r="BN36" s="54"/>
      <c r="BO36" s="54"/>
      <c r="BP36" s="54"/>
      <c r="BQ36" s="54"/>
      <c r="BR36" s="56"/>
      <c r="BS36" s="114"/>
      <c r="BT36" s="99"/>
      <c r="BU36" s="2"/>
      <c r="BV36" s="21"/>
    </row>
    <row r="37" spans="1:76">
      <c r="A37" s="2"/>
      <c r="B37" s="106"/>
      <c r="C37" s="109"/>
      <c r="D37" s="45">
        <f>IF(BV35&gt;0,DATEDIF(BV35,$BV$1,"YM"),"")</f>
        <v>0</v>
      </c>
      <c r="E37" s="1" t="s">
        <v>23</v>
      </c>
      <c r="F37" s="112"/>
      <c r="G37" s="112"/>
      <c r="H37" s="115"/>
      <c r="I37" s="20" t="s">
        <v>24</v>
      </c>
      <c r="J37" s="93"/>
      <c r="K37" s="94"/>
      <c r="L37" s="94"/>
      <c r="M37" s="94"/>
      <c r="N37" s="95"/>
      <c r="O37" s="93"/>
      <c r="P37" s="94"/>
      <c r="Q37" s="94"/>
      <c r="R37" s="94"/>
      <c r="S37" s="95"/>
      <c r="T37" s="87"/>
      <c r="U37" s="88"/>
      <c r="V37" s="88"/>
      <c r="W37" s="88"/>
      <c r="X37" s="89"/>
      <c r="Y37" s="87">
        <v>1</v>
      </c>
      <c r="Z37" s="88"/>
      <c r="AA37" s="88"/>
      <c r="AB37" s="88"/>
      <c r="AC37" s="89"/>
      <c r="AD37" s="87"/>
      <c r="AE37" s="88"/>
      <c r="AF37" s="88"/>
      <c r="AG37" s="88"/>
      <c r="AH37" s="89"/>
      <c r="AI37" s="87"/>
      <c r="AJ37" s="88"/>
      <c r="AK37" s="88"/>
      <c r="AL37" s="88"/>
      <c r="AM37" s="89"/>
      <c r="AN37" s="87">
        <v>1.5</v>
      </c>
      <c r="AO37" s="88"/>
      <c r="AP37" s="88"/>
      <c r="AQ37" s="88"/>
      <c r="AR37" s="89"/>
      <c r="AS37" s="87">
        <v>4</v>
      </c>
      <c r="AT37" s="88"/>
      <c r="AU37" s="88"/>
      <c r="AV37" s="88"/>
      <c r="AW37" s="89"/>
      <c r="AX37" s="87">
        <v>3.5</v>
      </c>
      <c r="AY37" s="88"/>
      <c r="AZ37" s="88"/>
      <c r="BA37" s="88"/>
      <c r="BB37" s="89"/>
      <c r="BC37" s="87"/>
      <c r="BD37" s="88"/>
      <c r="BE37" s="88"/>
      <c r="BF37" s="88"/>
      <c r="BG37" s="89"/>
      <c r="BH37" s="87"/>
      <c r="BI37" s="88"/>
      <c r="BJ37" s="88"/>
      <c r="BK37" s="88"/>
      <c r="BL37" s="89"/>
      <c r="BM37" s="87"/>
      <c r="BN37" s="88"/>
      <c r="BO37" s="88"/>
      <c r="BP37" s="88"/>
      <c r="BQ37" s="89"/>
      <c r="BR37" s="47">
        <f>IF(SUM(J37:BQ37)&gt;0,SUM(J37:BQ37),"")</f>
        <v>10</v>
      </c>
      <c r="BS37" s="115"/>
      <c r="BT37" s="100"/>
      <c r="BU37" s="2"/>
      <c r="BV37" s="57" t="str">
        <f>IF(ISBLANK(BV35),"",DATEDIF(BV35,$BV$1,"Y")&amp;"年"&amp;DATEDIF(BV35,$BV$1,"YM")&amp;"ヶ月")</f>
        <v>0年0ヶ月</v>
      </c>
      <c r="BW37">
        <f>IF(BR35="",BR37,BR35+BR37)</f>
        <v>10</v>
      </c>
      <c r="BX37">
        <f>H35-BW37</f>
        <v>0</v>
      </c>
    </row>
    <row r="38" spans="1:76">
      <c r="A38" s="2"/>
      <c r="B38" s="104" t="s">
        <v>109</v>
      </c>
      <c r="C38" s="107" t="s">
        <v>49</v>
      </c>
      <c r="D38" s="44" t="str">
        <f>IF(BV38&gt;0,DATEDIF(BV38,$BV$1,"Y"),"")</f>
        <v/>
      </c>
      <c r="E38" s="18" t="s">
        <v>3</v>
      </c>
      <c r="F38" s="110" t="s">
        <v>108</v>
      </c>
      <c r="G38" s="110">
        <v>5</v>
      </c>
      <c r="H38" s="113">
        <f>SUM(F38:G40)</f>
        <v>5</v>
      </c>
      <c r="I38" s="19" t="s">
        <v>22</v>
      </c>
      <c r="J38" s="90"/>
      <c r="K38" s="91"/>
      <c r="L38" s="91"/>
      <c r="M38" s="91"/>
      <c r="N38" s="92"/>
      <c r="O38" s="90"/>
      <c r="P38" s="91"/>
      <c r="Q38" s="91"/>
      <c r="R38" s="91"/>
      <c r="S38" s="92"/>
      <c r="T38" s="84"/>
      <c r="U38" s="85"/>
      <c r="V38" s="85"/>
      <c r="W38" s="85"/>
      <c r="X38" s="86"/>
      <c r="Y38" s="84"/>
      <c r="Z38" s="85"/>
      <c r="AA38" s="85"/>
      <c r="AB38" s="85"/>
      <c r="AC38" s="86"/>
      <c r="AD38" s="84"/>
      <c r="AE38" s="85"/>
      <c r="AF38" s="85"/>
      <c r="AG38" s="85"/>
      <c r="AH38" s="86"/>
      <c r="AI38" s="84"/>
      <c r="AJ38" s="85"/>
      <c r="AK38" s="85"/>
      <c r="AL38" s="85"/>
      <c r="AM38" s="86"/>
      <c r="AN38" s="84"/>
      <c r="AO38" s="85"/>
      <c r="AP38" s="85"/>
      <c r="AQ38" s="85"/>
      <c r="AR38" s="86"/>
      <c r="AS38" s="84"/>
      <c r="AT38" s="85"/>
      <c r="AU38" s="85"/>
      <c r="AV38" s="85"/>
      <c r="AW38" s="86"/>
      <c r="AX38" s="84"/>
      <c r="AY38" s="85"/>
      <c r="AZ38" s="85"/>
      <c r="BA38" s="85"/>
      <c r="BB38" s="86"/>
      <c r="BC38" s="84"/>
      <c r="BD38" s="85"/>
      <c r="BE38" s="85"/>
      <c r="BF38" s="85"/>
      <c r="BG38" s="86"/>
      <c r="BH38" s="84"/>
      <c r="BI38" s="85"/>
      <c r="BJ38" s="85"/>
      <c r="BK38" s="85"/>
      <c r="BL38" s="86"/>
      <c r="BM38" s="84"/>
      <c r="BN38" s="85"/>
      <c r="BO38" s="85"/>
      <c r="BP38" s="85"/>
      <c r="BQ38" s="86"/>
      <c r="BR38" s="46" t="str">
        <f>IF(SUM(J38:BQ38)&gt;0,SUM(J38:BQ38),"")</f>
        <v/>
      </c>
      <c r="BS38" s="113">
        <f>H38-SUM(J40:BQ40)</f>
        <v>5</v>
      </c>
      <c r="BT38" s="98"/>
      <c r="BU38" s="2"/>
      <c r="BV38" s="21"/>
    </row>
    <row r="39" spans="1:76">
      <c r="A39" s="2"/>
      <c r="B39" s="105"/>
      <c r="C39" s="108"/>
      <c r="D39" s="55"/>
      <c r="E39" s="27"/>
      <c r="F39" s="111"/>
      <c r="G39" s="111"/>
      <c r="H39" s="114"/>
      <c r="I39" s="28"/>
      <c r="J39" s="53"/>
      <c r="K39" s="53"/>
      <c r="L39" s="53"/>
      <c r="M39" s="53"/>
      <c r="N39" s="53"/>
      <c r="O39" s="53"/>
      <c r="P39" s="53"/>
      <c r="Q39" s="53"/>
      <c r="R39" s="53"/>
      <c r="S39" s="53"/>
      <c r="T39" s="54"/>
      <c r="U39" s="54"/>
      <c r="V39" s="54"/>
      <c r="W39" s="54"/>
      <c r="X39" s="54"/>
      <c r="Y39" s="54"/>
      <c r="Z39" s="54"/>
      <c r="AA39" s="54"/>
      <c r="AB39" s="54"/>
      <c r="AC39" s="54"/>
      <c r="AD39" s="54"/>
      <c r="AE39" s="54"/>
      <c r="AF39" s="54"/>
      <c r="AG39" s="5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54"/>
      <c r="BH39" s="54"/>
      <c r="BI39" s="54"/>
      <c r="BJ39" s="54"/>
      <c r="BK39" s="54"/>
      <c r="BL39" s="54"/>
      <c r="BM39" s="54"/>
      <c r="BN39" s="54"/>
      <c r="BO39" s="54"/>
      <c r="BP39" s="54"/>
      <c r="BQ39" s="54"/>
      <c r="BR39" s="56"/>
      <c r="BS39" s="114"/>
      <c r="BT39" s="99"/>
      <c r="BU39" s="2"/>
      <c r="BV39" s="21"/>
    </row>
    <row r="40" spans="1:76">
      <c r="A40" s="2"/>
      <c r="B40" s="106"/>
      <c r="C40" s="109"/>
      <c r="D40" s="45" t="str">
        <f>IF(BV38&gt;0,DATEDIF(BV38,$BV$1,"YM"),"")</f>
        <v/>
      </c>
      <c r="E40" s="1" t="s">
        <v>23</v>
      </c>
      <c r="F40" s="112"/>
      <c r="G40" s="112"/>
      <c r="H40" s="115"/>
      <c r="I40" s="20" t="s">
        <v>24</v>
      </c>
      <c r="J40" s="93"/>
      <c r="K40" s="94"/>
      <c r="L40" s="94"/>
      <c r="M40" s="94"/>
      <c r="N40" s="95"/>
      <c r="O40" s="93"/>
      <c r="P40" s="94"/>
      <c r="Q40" s="94"/>
      <c r="R40" s="94"/>
      <c r="S40" s="95"/>
      <c r="T40" s="87"/>
      <c r="U40" s="88"/>
      <c r="V40" s="88"/>
      <c r="W40" s="88"/>
      <c r="X40" s="89"/>
      <c r="Y40" s="87"/>
      <c r="Z40" s="88"/>
      <c r="AA40" s="88"/>
      <c r="AB40" s="88"/>
      <c r="AC40" s="89"/>
      <c r="AD40" s="87"/>
      <c r="AE40" s="88"/>
      <c r="AF40" s="88"/>
      <c r="AG40" s="88"/>
      <c r="AH40" s="89"/>
      <c r="AI40" s="87"/>
      <c r="AJ40" s="88"/>
      <c r="AK40" s="88"/>
      <c r="AL40" s="88"/>
      <c r="AM40" s="89"/>
      <c r="AN40" s="87"/>
      <c r="AO40" s="88"/>
      <c r="AP40" s="88"/>
      <c r="AQ40" s="88"/>
      <c r="AR40" s="89"/>
      <c r="AS40" s="87"/>
      <c r="AT40" s="88"/>
      <c r="AU40" s="88"/>
      <c r="AV40" s="88"/>
      <c r="AW40" s="89"/>
      <c r="AX40" s="87"/>
      <c r="AY40" s="88"/>
      <c r="AZ40" s="88"/>
      <c r="BA40" s="88"/>
      <c r="BB40" s="89"/>
      <c r="BC40" s="87"/>
      <c r="BD40" s="88"/>
      <c r="BE40" s="88"/>
      <c r="BF40" s="88"/>
      <c r="BG40" s="89"/>
      <c r="BH40" s="87"/>
      <c r="BI40" s="88"/>
      <c r="BJ40" s="88"/>
      <c r="BK40" s="88"/>
      <c r="BL40" s="89"/>
      <c r="BM40" s="87"/>
      <c r="BN40" s="88"/>
      <c r="BO40" s="88"/>
      <c r="BP40" s="88"/>
      <c r="BQ40" s="89"/>
      <c r="BR40" s="47" t="str">
        <f>IF(SUM(J40:BQ40)&gt;0,SUM(J40:BQ40),"")</f>
        <v/>
      </c>
      <c r="BS40" s="115"/>
      <c r="BT40" s="100"/>
      <c r="BU40" s="2"/>
      <c r="BV40" s="57" t="str">
        <f>IF(ISBLANK(BV38),"",DATEDIF(BV38,$BV$1,"Y")&amp;"年"&amp;DATEDIF(BV38,$BV$1,"YM")&amp;"ヶ月")</f>
        <v/>
      </c>
      <c r="BW40" t="str">
        <f>IF(BR38="",BR40,BR38+BR40)</f>
        <v/>
      </c>
      <c r="BX40" t="e">
        <f>H38-BW40</f>
        <v>#VALUE!</v>
      </c>
    </row>
    <row r="41" spans="1:76">
      <c r="A41" s="2"/>
      <c r="B41" s="104"/>
      <c r="C41" s="107"/>
      <c r="D41" s="44" t="str">
        <f>IF(BV41&gt;0,DATEDIF(BV41,$BV$1,"Y"),"")</f>
        <v/>
      </c>
      <c r="E41" s="18" t="s">
        <v>3</v>
      </c>
      <c r="F41" s="110"/>
      <c r="G41" s="110"/>
      <c r="H41" s="113">
        <f>SUM(F41:G43)</f>
        <v>0</v>
      </c>
      <c r="I41" s="19" t="s">
        <v>22</v>
      </c>
      <c r="J41" s="90"/>
      <c r="K41" s="91"/>
      <c r="L41" s="91"/>
      <c r="M41" s="91"/>
      <c r="N41" s="92"/>
      <c r="O41" s="90"/>
      <c r="P41" s="91"/>
      <c r="Q41" s="91"/>
      <c r="R41" s="91"/>
      <c r="S41" s="92"/>
      <c r="T41" s="84"/>
      <c r="U41" s="85"/>
      <c r="V41" s="85"/>
      <c r="W41" s="85"/>
      <c r="X41" s="86"/>
      <c r="Y41" s="84"/>
      <c r="Z41" s="85"/>
      <c r="AA41" s="85"/>
      <c r="AB41" s="85"/>
      <c r="AC41" s="86"/>
      <c r="AD41" s="84"/>
      <c r="AE41" s="85"/>
      <c r="AF41" s="85"/>
      <c r="AG41" s="85"/>
      <c r="AH41" s="86"/>
      <c r="AI41" s="84"/>
      <c r="AJ41" s="85"/>
      <c r="AK41" s="85"/>
      <c r="AL41" s="85"/>
      <c r="AM41" s="86"/>
      <c r="AN41" s="84"/>
      <c r="AO41" s="85"/>
      <c r="AP41" s="85"/>
      <c r="AQ41" s="85"/>
      <c r="AR41" s="86"/>
      <c r="AS41" s="84"/>
      <c r="AT41" s="85"/>
      <c r="AU41" s="85"/>
      <c r="AV41" s="85"/>
      <c r="AW41" s="86"/>
      <c r="AX41" s="84"/>
      <c r="AY41" s="85"/>
      <c r="AZ41" s="85"/>
      <c r="BA41" s="85"/>
      <c r="BB41" s="86"/>
      <c r="BC41" s="84"/>
      <c r="BD41" s="85"/>
      <c r="BE41" s="85"/>
      <c r="BF41" s="85"/>
      <c r="BG41" s="86"/>
      <c r="BH41" s="84"/>
      <c r="BI41" s="85"/>
      <c r="BJ41" s="85"/>
      <c r="BK41" s="85"/>
      <c r="BL41" s="86"/>
      <c r="BM41" s="84"/>
      <c r="BN41" s="85"/>
      <c r="BO41" s="85"/>
      <c r="BP41" s="85"/>
      <c r="BQ41" s="86"/>
      <c r="BR41" s="46" t="str">
        <f>IF(SUM(J41:BQ41)&gt;0,SUM(J41:BQ41),"")</f>
        <v/>
      </c>
      <c r="BS41" s="113">
        <f>H41-SUM(J43:BQ43)</f>
        <v>0</v>
      </c>
      <c r="BT41" s="98"/>
      <c r="BU41" s="2"/>
      <c r="BV41" s="21"/>
    </row>
    <row r="42" spans="1:76">
      <c r="A42" s="2"/>
      <c r="B42" s="105"/>
      <c r="C42" s="108"/>
      <c r="D42" s="55"/>
      <c r="E42" s="27"/>
      <c r="F42" s="111"/>
      <c r="G42" s="111"/>
      <c r="H42" s="114"/>
      <c r="I42" s="28"/>
      <c r="J42" s="53"/>
      <c r="K42" s="53"/>
      <c r="L42" s="53"/>
      <c r="M42" s="53"/>
      <c r="N42" s="53"/>
      <c r="O42" s="53"/>
      <c r="P42" s="53"/>
      <c r="Q42" s="53"/>
      <c r="R42" s="53"/>
      <c r="S42" s="53"/>
      <c r="T42" s="54"/>
      <c r="U42" s="54"/>
      <c r="V42" s="54"/>
      <c r="W42" s="54"/>
      <c r="X42" s="54"/>
      <c r="Y42" s="54"/>
      <c r="Z42" s="54"/>
      <c r="AA42" s="54"/>
      <c r="AB42" s="54"/>
      <c r="AC42" s="54"/>
      <c r="AD42" s="54"/>
      <c r="AE42" s="54"/>
      <c r="AF42" s="54"/>
      <c r="AG42" s="5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54"/>
      <c r="BH42" s="54"/>
      <c r="BI42" s="54"/>
      <c r="BJ42" s="54"/>
      <c r="BK42" s="54"/>
      <c r="BL42" s="54"/>
      <c r="BM42" s="54"/>
      <c r="BN42" s="54"/>
      <c r="BO42" s="54"/>
      <c r="BP42" s="54"/>
      <c r="BQ42" s="54"/>
      <c r="BR42" s="56"/>
      <c r="BS42" s="114"/>
      <c r="BT42" s="99"/>
      <c r="BU42" s="2"/>
      <c r="BV42" s="21"/>
    </row>
    <row r="43" spans="1:76">
      <c r="A43" s="2"/>
      <c r="B43" s="106"/>
      <c r="C43" s="109"/>
      <c r="D43" s="45" t="str">
        <f>IF(BV41&gt;0,DATEDIF(BV41,$BV$1,"YM"),"")</f>
        <v/>
      </c>
      <c r="E43" s="1" t="s">
        <v>23</v>
      </c>
      <c r="F43" s="112"/>
      <c r="G43" s="112"/>
      <c r="H43" s="115"/>
      <c r="I43" s="20" t="s">
        <v>24</v>
      </c>
      <c r="J43" s="93"/>
      <c r="K43" s="94"/>
      <c r="L43" s="94"/>
      <c r="M43" s="94"/>
      <c r="N43" s="95"/>
      <c r="O43" s="93"/>
      <c r="P43" s="94"/>
      <c r="Q43" s="94"/>
      <c r="R43" s="94"/>
      <c r="S43" s="95"/>
      <c r="T43" s="87"/>
      <c r="U43" s="88"/>
      <c r="V43" s="88"/>
      <c r="W43" s="88"/>
      <c r="X43" s="89"/>
      <c r="Y43" s="87"/>
      <c r="Z43" s="88"/>
      <c r="AA43" s="88"/>
      <c r="AB43" s="88"/>
      <c r="AC43" s="89"/>
      <c r="AD43" s="87"/>
      <c r="AE43" s="88"/>
      <c r="AF43" s="88"/>
      <c r="AG43" s="88"/>
      <c r="AH43" s="89"/>
      <c r="AI43" s="87"/>
      <c r="AJ43" s="88"/>
      <c r="AK43" s="88"/>
      <c r="AL43" s="88"/>
      <c r="AM43" s="89"/>
      <c r="AN43" s="87"/>
      <c r="AO43" s="88"/>
      <c r="AP43" s="88"/>
      <c r="AQ43" s="88"/>
      <c r="AR43" s="89"/>
      <c r="AS43" s="87"/>
      <c r="AT43" s="88"/>
      <c r="AU43" s="88"/>
      <c r="AV43" s="88"/>
      <c r="AW43" s="89"/>
      <c r="AX43" s="87"/>
      <c r="AY43" s="88"/>
      <c r="AZ43" s="88"/>
      <c r="BA43" s="88"/>
      <c r="BB43" s="89"/>
      <c r="BC43" s="87"/>
      <c r="BD43" s="88"/>
      <c r="BE43" s="88"/>
      <c r="BF43" s="88"/>
      <c r="BG43" s="89"/>
      <c r="BH43" s="87"/>
      <c r="BI43" s="88"/>
      <c r="BJ43" s="88"/>
      <c r="BK43" s="88"/>
      <c r="BL43" s="89"/>
      <c r="BM43" s="87"/>
      <c r="BN43" s="88"/>
      <c r="BO43" s="88"/>
      <c r="BP43" s="88"/>
      <c r="BQ43" s="89"/>
      <c r="BR43" s="47" t="str">
        <f>IF(SUM(J43:BQ43)&gt;0,SUM(J43:BQ43),"")</f>
        <v/>
      </c>
      <c r="BS43" s="115"/>
      <c r="BT43" s="100"/>
      <c r="BU43" s="2"/>
      <c r="BV43" s="57" t="str">
        <f>IF(ISBLANK(BV41),"",DATEDIF(BV41,$BV$1,"Y")&amp;"年"&amp;DATEDIF(BV41,$BV$1,"YM")&amp;"ヶ月")</f>
        <v/>
      </c>
    </row>
    <row r="44" spans="1:76">
      <c r="A44" s="2"/>
      <c r="B44" s="116" t="s">
        <v>52</v>
      </c>
      <c r="C44" s="107"/>
      <c r="D44" s="44" t="str">
        <f>IF(BV44&gt;0,DATEDIF(BV44,$BV$1,"Y"),"")</f>
        <v/>
      </c>
      <c r="E44" s="18" t="s">
        <v>3</v>
      </c>
      <c r="F44" s="110"/>
      <c r="G44" s="110"/>
      <c r="H44" s="113">
        <f>SUM(F44:G46)</f>
        <v>0</v>
      </c>
      <c r="I44" s="19" t="s">
        <v>22</v>
      </c>
      <c r="J44" s="90"/>
      <c r="K44" s="91"/>
      <c r="L44" s="91"/>
      <c r="M44" s="91"/>
      <c r="N44" s="92"/>
      <c r="O44" s="90"/>
      <c r="P44" s="91"/>
      <c r="Q44" s="91"/>
      <c r="R44" s="91"/>
      <c r="S44" s="92"/>
      <c r="T44" s="84"/>
      <c r="U44" s="85"/>
      <c r="V44" s="85"/>
      <c r="W44" s="85"/>
      <c r="X44" s="86"/>
      <c r="Y44" s="84"/>
      <c r="Z44" s="85"/>
      <c r="AA44" s="85"/>
      <c r="AB44" s="85"/>
      <c r="AC44" s="86"/>
      <c r="AD44" s="84"/>
      <c r="AE44" s="85"/>
      <c r="AF44" s="85"/>
      <c r="AG44" s="85"/>
      <c r="AH44" s="86"/>
      <c r="AI44" s="84"/>
      <c r="AJ44" s="85"/>
      <c r="AK44" s="85"/>
      <c r="AL44" s="85"/>
      <c r="AM44" s="86"/>
      <c r="AN44" s="84"/>
      <c r="AO44" s="85"/>
      <c r="AP44" s="85"/>
      <c r="AQ44" s="85"/>
      <c r="AR44" s="86"/>
      <c r="AS44" s="84"/>
      <c r="AT44" s="85"/>
      <c r="AU44" s="85"/>
      <c r="AV44" s="85"/>
      <c r="AW44" s="86"/>
      <c r="AX44" s="84"/>
      <c r="AY44" s="85"/>
      <c r="AZ44" s="85"/>
      <c r="BA44" s="85"/>
      <c r="BB44" s="86"/>
      <c r="BC44" s="84"/>
      <c r="BD44" s="85"/>
      <c r="BE44" s="85"/>
      <c r="BF44" s="85"/>
      <c r="BG44" s="86"/>
      <c r="BH44" s="84"/>
      <c r="BI44" s="85"/>
      <c r="BJ44" s="85"/>
      <c r="BK44" s="85"/>
      <c r="BL44" s="86"/>
      <c r="BM44" s="84"/>
      <c r="BN44" s="85"/>
      <c r="BO44" s="85"/>
      <c r="BP44" s="85"/>
      <c r="BQ44" s="86"/>
      <c r="BR44" s="46" t="str">
        <f>IF(SUM(J44:BQ44)&gt;0,SUM(J44:BQ44),"")</f>
        <v/>
      </c>
      <c r="BS44" s="113">
        <f>H44-SUM(J46:BQ46)</f>
        <v>0</v>
      </c>
      <c r="BT44" s="98"/>
      <c r="BU44" s="2"/>
      <c r="BV44" s="22"/>
    </row>
    <row r="45" spans="1:76">
      <c r="A45" s="2"/>
      <c r="B45" s="117"/>
      <c r="C45" s="108"/>
      <c r="D45" s="55"/>
      <c r="E45" s="27"/>
      <c r="F45" s="111"/>
      <c r="G45" s="111"/>
      <c r="H45" s="114"/>
      <c r="I45" s="28"/>
      <c r="J45" s="53"/>
      <c r="K45" s="53"/>
      <c r="L45" s="53"/>
      <c r="M45" s="53"/>
      <c r="N45" s="53"/>
      <c r="O45" s="53"/>
      <c r="P45" s="53"/>
      <c r="Q45" s="53"/>
      <c r="R45" s="53"/>
      <c r="S45" s="53"/>
      <c r="T45" s="54"/>
      <c r="U45" s="54"/>
      <c r="V45" s="54"/>
      <c r="W45" s="54"/>
      <c r="X45" s="54"/>
      <c r="Y45" s="54"/>
      <c r="Z45" s="54"/>
      <c r="AA45" s="54"/>
      <c r="AB45" s="54"/>
      <c r="AC45" s="54"/>
      <c r="AD45" s="54"/>
      <c r="AE45" s="54"/>
      <c r="AF45" s="54"/>
      <c r="AG45" s="54"/>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54"/>
      <c r="BH45" s="54"/>
      <c r="BI45" s="54"/>
      <c r="BJ45" s="54"/>
      <c r="BK45" s="54"/>
      <c r="BL45" s="54"/>
      <c r="BM45" s="54"/>
      <c r="BN45" s="54"/>
      <c r="BO45" s="54"/>
      <c r="BP45" s="54"/>
      <c r="BQ45" s="54"/>
      <c r="BR45" s="56"/>
      <c r="BS45" s="114"/>
      <c r="BT45" s="99"/>
      <c r="BU45" s="2"/>
      <c r="BV45" s="22"/>
    </row>
    <row r="46" spans="1:76">
      <c r="A46" s="2"/>
      <c r="B46" s="118"/>
      <c r="C46" s="109"/>
      <c r="D46" s="45" t="str">
        <f>IF(BV44&gt;0,DATEDIF(BV44,$BV$1,"YM"),"")</f>
        <v/>
      </c>
      <c r="E46" s="1" t="s">
        <v>23</v>
      </c>
      <c r="F46" s="112"/>
      <c r="G46" s="112"/>
      <c r="H46" s="115"/>
      <c r="I46" s="20" t="s">
        <v>24</v>
      </c>
      <c r="J46" s="93"/>
      <c r="K46" s="94"/>
      <c r="L46" s="94"/>
      <c r="M46" s="94"/>
      <c r="N46" s="95"/>
      <c r="O46" s="93"/>
      <c r="P46" s="94"/>
      <c r="Q46" s="94"/>
      <c r="R46" s="94"/>
      <c r="S46" s="95"/>
      <c r="T46" s="87"/>
      <c r="U46" s="88"/>
      <c r="V46" s="88"/>
      <c r="W46" s="88"/>
      <c r="X46" s="89"/>
      <c r="Y46" s="87"/>
      <c r="Z46" s="88"/>
      <c r="AA46" s="88"/>
      <c r="AB46" s="88"/>
      <c r="AC46" s="89"/>
      <c r="AD46" s="87"/>
      <c r="AE46" s="88"/>
      <c r="AF46" s="88"/>
      <c r="AG46" s="88"/>
      <c r="AH46" s="89"/>
      <c r="AI46" s="87"/>
      <c r="AJ46" s="88"/>
      <c r="AK46" s="88"/>
      <c r="AL46" s="88"/>
      <c r="AM46" s="89"/>
      <c r="AN46" s="87"/>
      <c r="AO46" s="88"/>
      <c r="AP46" s="88"/>
      <c r="AQ46" s="88"/>
      <c r="AR46" s="89"/>
      <c r="AS46" s="87"/>
      <c r="AT46" s="88"/>
      <c r="AU46" s="88"/>
      <c r="AV46" s="88"/>
      <c r="AW46" s="89"/>
      <c r="AX46" s="87"/>
      <c r="AY46" s="88"/>
      <c r="AZ46" s="88"/>
      <c r="BA46" s="88"/>
      <c r="BB46" s="89"/>
      <c r="BC46" s="87"/>
      <c r="BD46" s="88"/>
      <c r="BE46" s="88"/>
      <c r="BF46" s="88"/>
      <c r="BG46" s="89"/>
      <c r="BH46" s="87"/>
      <c r="BI46" s="88"/>
      <c r="BJ46" s="88"/>
      <c r="BK46" s="88"/>
      <c r="BL46" s="89"/>
      <c r="BM46" s="87"/>
      <c r="BN46" s="88"/>
      <c r="BO46" s="88"/>
      <c r="BP46" s="88"/>
      <c r="BQ46" s="89"/>
      <c r="BR46" s="47" t="str">
        <f>IF(SUM(J46:BQ46)&gt;0,SUM(J46:BQ46),"")</f>
        <v/>
      </c>
      <c r="BS46" s="115"/>
      <c r="BT46" s="100"/>
      <c r="BU46" s="2"/>
      <c r="BV46" s="57" t="str">
        <f>IF(ISBLANK(BV44),"",DATEDIF(BV44,$BV$1,"Y")&amp;"年"&amp;DATEDIF(BV44,$BV$1,"YM")&amp;"ヶ月")</f>
        <v/>
      </c>
    </row>
    <row r="47" spans="1:76">
      <c r="A47" s="2"/>
      <c r="B47" s="104" t="s">
        <v>53</v>
      </c>
      <c r="C47" s="107" t="s">
        <v>21</v>
      </c>
      <c r="D47" s="44" t="str">
        <f>IF(BV47&gt;0,DATEDIF(BV47,$BV$1,"Y"),"")</f>
        <v/>
      </c>
      <c r="E47" s="18" t="s">
        <v>3</v>
      </c>
      <c r="F47" s="110">
        <v>20</v>
      </c>
      <c r="G47" s="110">
        <v>20</v>
      </c>
      <c r="H47" s="113">
        <f>SUM(F47:G49)</f>
        <v>40</v>
      </c>
      <c r="I47" s="19" t="s">
        <v>22</v>
      </c>
      <c r="J47" s="90"/>
      <c r="K47" s="91"/>
      <c r="L47" s="91"/>
      <c r="M47" s="91"/>
      <c r="N47" s="92"/>
      <c r="O47" s="90"/>
      <c r="P47" s="91"/>
      <c r="Q47" s="91"/>
      <c r="R47" s="91"/>
      <c r="S47" s="92"/>
      <c r="T47" s="84">
        <v>1</v>
      </c>
      <c r="U47" s="85"/>
      <c r="V47" s="85"/>
      <c r="W47" s="85"/>
      <c r="X47" s="86"/>
      <c r="Y47" s="84">
        <v>1</v>
      </c>
      <c r="Z47" s="85"/>
      <c r="AA47" s="85"/>
      <c r="AB47" s="85"/>
      <c r="AC47" s="86"/>
      <c r="AD47" s="84">
        <v>0.5</v>
      </c>
      <c r="AE47" s="85"/>
      <c r="AF47" s="85"/>
      <c r="AG47" s="85"/>
      <c r="AH47" s="86"/>
      <c r="AI47" s="84">
        <v>1.5</v>
      </c>
      <c r="AJ47" s="85"/>
      <c r="AK47" s="85"/>
      <c r="AL47" s="85"/>
      <c r="AM47" s="86"/>
      <c r="AN47" s="84"/>
      <c r="AO47" s="85"/>
      <c r="AP47" s="85"/>
      <c r="AQ47" s="85"/>
      <c r="AR47" s="86"/>
      <c r="AS47" s="84"/>
      <c r="AT47" s="85"/>
      <c r="AU47" s="85"/>
      <c r="AV47" s="85"/>
      <c r="AW47" s="86"/>
      <c r="AX47" s="84"/>
      <c r="AY47" s="85"/>
      <c r="AZ47" s="85"/>
      <c r="BA47" s="85"/>
      <c r="BB47" s="86"/>
      <c r="BC47" s="84"/>
      <c r="BD47" s="85"/>
      <c r="BE47" s="85"/>
      <c r="BF47" s="85"/>
      <c r="BG47" s="86"/>
      <c r="BH47" s="84"/>
      <c r="BI47" s="85"/>
      <c r="BJ47" s="85"/>
      <c r="BK47" s="85"/>
      <c r="BL47" s="86"/>
      <c r="BM47" s="84"/>
      <c r="BN47" s="85"/>
      <c r="BO47" s="85"/>
      <c r="BP47" s="85"/>
      <c r="BQ47" s="86"/>
      <c r="BR47" s="46">
        <f>IF(SUM(J47:BQ47)&gt;0,SUM(J47:BQ47),"")</f>
        <v>4</v>
      </c>
      <c r="BS47" s="113">
        <f>H47-SUM(J49:BQ49)</f>
        <v>38</v>
      </c>
      <c r="BT47" s="98"/>
      <c r="BU47" s="2"/>
      <c r="BV47" s="22"/>
    </row>
    <row r="48" spans="1:76">
      <c r="A48" s="2"/>
      <c r="B48" s="105"/>
      <c r="C48" s="108"/>
      <c r="D48" s="55"/>
      <c r="E48" s="27"/>
      <c r="F48" s="111"/>
      <c r="G48" s="111"/>
      <c r="H48" s="114"/>
      <c r="I48" s="28"/>
      <c r="J48" s="53"/>
      <c r="K48" s="53"/>
      <c r="L48" s="53"/>
      <c r="M48" s="53"/>
      <c r="N48" s="53"/>
      <c r="O48" s="53"/>
      <c r="P48" s="53"/>
      <c r="Q48" s="53"/>
      <c r="R48" s="53"/>
      <c r="S48" s="53"/>
      <c r="T48" s="54">
        <v>3</v>
      </c>
      <c r="U48" s="54"/>
      <c r="V48" s="54"/>
      <c r="W48" s="54"/>
      <c r="X48" s="54"/>
      <c r="Y48" s="54">
        <v>4</v>
      </c>
      <c r="Z48" s="54"/>
      <c r="AA48" s="54"/>
      <c r="AB48" s="54"/>
      <c r="AC48" s="54"/>
      <c r="AD48" s="54" t="s">
        <v>54</v>
      </c>
      <c r="AE48" s="54"/>
      <c r="AF48" s="54"/>
      <c r="AG48" s="54"/>
      <c r="AH48" s="54"/>
      <c r="AI48" s="54" t="s">
        <v>55</v>
      </c>
      <c r="AJ48" s="54">
        <v>24</v>
      </c>
      <c r="AK48" s="54"/>
      <c r="AL48" s="54"/>
      <c r="AM48" s="54"/>
      <c r="AN48" s="54"/>
      <c r="AO48" s="54"/>
      <c r="AP48" s="54"/>
      <c r="AQ48" s="54"/>
      <c r="AR48" s="54"/>
      <c r="AS48" s="54"/>
      <c r="AT48" s="54"/>
      <c r="AU48" s="54"/>
      <c r="AV48" s="54"/>
      <c r="AW48" s="54"/>
      <c r="AX48" s="54"/>
      <c r="AY48" s="54"/>
      <c r="AZ48" s="54"/>
      <c r="BA48" s="54"/>
      <c r="BB48" s="54"/>
      <c r="BC48" s="54"/>
      <c r="BD48" s="54"/>
      <c r="BE48" s="54"/>
      <c r="BF48" s="54"/>
      <c r="BG48" s="54"/>
      <c r="BH48" s="54"/>
      <c r="BI48" s="54"/>
      <c r="BJ48" s="54"/>
      <c r="BK48" s="54"/>
      <c r="BL48" s="54"/>
      <c r="BM48" s="54"/>
      <c r="BN48" s="54"/>
      <c r="BO48" s="54"/>
      <c r="BP48" s="54"/>
      <c r="BQ48" s="54"/>
      <c r="BR48" s="56"/>
      <c r="BS48" s="114"/>
      <c r="BT48" s="99"/>
      <c r="BU48" s="2"/>
      <c r="BV48" s="22"/>
    </row>
    <row r="49" spans="1:74">
      <c r="A49" s="2"/>
      <c r="B49" s="106"/>
      <c r="C49" s="109"/>
      <c r="D49" s="45" t="str">
        <f>IF(BV47&gt;0,DATEDIF(BV47,$BV$1,"YM"),"")</f>
        <v/>
      </c>
      <c r="E49" s="1" t="s">
        <v>23</v>
      </c>
      <c r="F49" s="112"/>
      <c r="G49" s="112"/>
      <c r="H49" s="115"/>
      <c r="I49" s="20" t="s">
        <v>24</v>
      </c>
      <c r="J49" s="93">
        <v>1</v>
      </c>
      <c r="K49" s="94"/>
      <c r="L49" s="94"/>
      <c r="M49" s="94"/>
      <c r="N49" s="95"/>
      <c r="O49" s="93">
        <v>1</v>
      </c>
      <c r="P49" s="94"/>
      <c r="Q49" s="94"/>
      <c r="R49" s="94"/>
      <c r="S49" s="95"/>
      <c r="T49" s="87"/>
      <c r="U49" s="88"/>
      <c r="V49" s="88"/>
      <c r="W49" s="88"/>
      <c r="X49" s="89"/>
      <c r="Y49" s="87"/>
      <c r="Z49" s="88"/>
      <c r="AA49" s="88"/>
      <c r="AB49" s="88"/>
      <c r="AC49" s="89"/>
      <c r="AD49" s="87"/>
      <c r="AE49" s="88"/>
      <c r="AF49" s="88"/>
      <c r="AG49" s="88"/>
      <c r="AH49" s="89"/>
      <c r="AI49" s="87"/>
      <c r="AJ49" s="88"/>
      <c r="AK49" s="88"/>
      <c r="AL49" s="88"/>
      <c r="AM49" s="89"/>
      <c r="AN49" s="87"/>
      <c r="AO49" s="88"/>
      <c r="AP49" s="88"/>
      <c r="AQ49" s="88"/>
      <c r="AR49" s="89"/>
      <c r="AS49" s="87"/>
      <c r="AT49" s="88"/>
      <c r="AU49" s="88"/>
      <c r="AV49" s="88"/>
      <c r="AW49" s="89"/>
      <c r="AX49" s="87"/>
      <c r="AY49" s="88"/>
      <c r="AZ49" s="88"/>
      <c r="BA49" s="88"/>
      <c r="BB49" s="89"/>
      <c r="BC49" s="87"/>
      <c r="BD49" s="88"/>
      <c r="BE49" s="88"/>
      <c r="BF49" s="88"/>
      <c r="BG49" s="89"/>
      <c r="BH49" s="87"/>
      <c r="BI49" s="88"/>
      <c r="BJ49" s="88"/>
      <c r="BK49" s="88"/>
      <c r="BL49" s="89"/>
      <c r="BM49" s="87"/>
      <c r="BN49" s="88"/>
      <c r="BO49" s="88"/>
      <c r="BP49" s="88"/>
      <c r="BQ49" s="89"/>
      <c r="BR49" s="47">
        <f>IF(SUM(J49:BQ49)&gt;0,SUM(J49:BQ49),"")</f>
        <v>2</v>
      </c>
      <c r="BS49" s="115"/>
      <c r="BT49" s="100"/>
      <c r="BU49" s="2"/>
      <c r="BV49" s="57" t="str">
        <f>IF(ISBLANK(BV47),"",DATEDIF(BV47,$BV$1,"Y")&amp;"年"&amp;DATEDIF(BV47,$BV$1,"YM")&amp;"ヶ月")</f>
        <v/>
      </c>
    </row>
    <row r="50" spans="1:74">
      <c r="A50" s="2"/>
      <c r="B50" s="104"/>
      <c r="C50" s="107"/>
      <c r="D50" s="44" t="str">
        <f>IF(BV50&gt;0,DATEDIF(BV50,$BV$1,"Y"),"")</f>
        <v/>
      </c>
      <c r="E50" s="18" t="s">
        <v>3</v>
      </c>
      <c r="F50" s="110"/>
      <c r="G50" s="110"/>
      <c r="H50" s="113">
        <f>SUM(F50:G52)</f>
        <v>0</v>
      </c>
      <c r="I50" s="19" t="s">
        <v>22</v>
      </c>
      <c r="J50" s="90"/>
      <c r="K50" s="91"/>
      <c r="L50" s="91"/>
      <c r="M50" s="91"/>
      <c r="N50" s="92"/>
      <c r="O50" s="90"/>
      <c r="P50" s="91"/>
      <c r="Q50" s="91"/>
      <c r="R50" s="91"/>
      <c r="S50" s="92"/>
      <c r="T50" s="84"/>
      <c r="U50" s="85"/>
      <c r="V50" s="85"/>
      <c r="W50" s="85"/>
      <c r="X50" s="86"/>
      <c r="Y50" s="84"/>
      <c r="Z50" s="85"/>
      <c r="AA50" s="85"/>
      <c r="AB50" s="85"/>
      <c r="AC50" s="86"/>
      <c r="AD50" s="84"/>
      <c r="AE50" s="85"/>
      <c r="AF50" s="85"/>
      <c r="AG50" s="85"/>
      <c r="AH50" s="86"/>
      <c r="AI50" s="84"/>
      <c r="AJ50" s="85"/>
      <c r="AK50" s="85"/>
      <c r="AL50" s="85"/>
      <c r="AM50" s="86"/>
      <c r="AN50" s="84"/>
      <c r="AO50" s="85"/>
      <c r="AP50" s="85"/>
      <c r="AQ50" s="85"/>
      <c r="AR50" s="86"/>
      <c r="AS50" s="84"/>
      <c r="AT50" s="85"/>
      <c r="AU50" s="85"/>
      <c r="AV50" s="85"/>
      <c r="AW50" s="86"/>
      <c r="AX50" s="84"/>
      <c r="AY50" s="85"/>
      <c r="AZ50" s="85"/>
      <c r="BA50" s="85"/>
      <c r="BB50" s="86"/>
      <c r="BC50" s="84"/>
      <c r="BD50" s="85"/>
      <c r="BE50" s="85"/>
      <c r="BF50" s="85"/>
      <c r="BG50" s="86"/>
      <c r="BH50" s="84"/>
      <c r="BI50" s="85"/>
      <c r="BJ50" s="85"/>
      <c r="BK50" s="85"/>
      <c r="BL50" s="86"/>
      <c r="BM50" s="84"/>
      <c r="BN50" s="85"/>
      <c r="BO50" s="85"/>
      <c r="BP50" s="85"/>
      <c r="BQ50" s="86"/>
      <c r="BR50" s="46" t="str">
        <f>IF(SUM(J50:BQ50)&gt;0,SUM(J50:BQ50),"")</f>
        <v/>
      </c>
      <c r="BS50" s="113">
        <f>H50-SUM(J52:BQ52)</f>
        <v>0</v>
      </c>
      <c r="BT50" s="98"/>
      <c r="BU50" s="2"/>
      <c r="BV50" s="22"/>
    </row>
    <row r="51" spans="1:74">
      <c r="A51" s="2"/>
      <c r="B51" s="105"/>
      <c r="C51" s="108"/>
      <c r="D51" s="55"/>
      <c r="E51" s="27"/>
      <c r="F51" s="111"/>
      <c r="G51" s="111"/>
      <c r="H51" s="114"/>
      <c r="I51" s="28"/>
      <c r="J51" s="53"/>
      <c r="K51" s="53"/>
      <c r="L51" s="53"/>
      <c r="M51" s="53"/>
      <c r="N51" s="53"/>
      <c r="O51" s="53"/>
      <c r="P51" s="53"/>
      <c r="Q51" s="53"/>
      <c r="R51" s="53"/>
      <c r="S51" s="53"/>
      <c r="T51" s="54"/>
      <c r="U51" s="54"/>
      <c r="V51" s="54"/>
      <c r="W51" s="54"/>
      <c r="X51" s="54"/>
      <c r="Y51" s="54"/>
      <c r="Z51" s="54"/>
      <c r="AA51" s="54"/>
      <c r="AB51" s="54"/>
      <c r="AC51" s="54"/>
      <c r="AD51" s="54"/>
      <c r="AE51" s="54"/>
      <c r="AF51" s="54"/>
      <c r="AG51" s="54"/>
      <c r="AH51" s="54"/>
      <c r="AI51" s="54"/>
      <c r="AJ51" s="54"/>
      <c r="AK51" s="54"/>
      <c r="AL51" s="54"/>
      <c r="AM51" s="54"/>
      <c r="AN51" s="54"/>
      <c r="AO51" s="54"/>
      <c r="AP51" s="54"/>
      <c r="AQ51" s="54"/>
      <c r="AR51" s="54"/>
      <c r="AS51" s="54"/>
      <c r="AT51" s="54"/>
      <c r="AU51" s="54"/>
      <c r="AV51" s="54"/>
      <c r="AW51" s="54"/>
      <c r="AX51" s="54"/>
      <c r="AY51" s="54"/>
      <c r="AZ51" s="54"/>
      <c r="BA51" s="54"/>
      <c r="BB51" s="54"/>
      <c r="BC51" s="54"/>
      <c r="BD51" s="54"/>
      <c r="BE51" s="54"/>
      <c r="BF51" s="54"/>
      <c r="BG51" s="54"/>
      <c r="BH51" s="54"/>
      <c r="BI51" s="54"/>
      <c r="BJ51" s="54"/>
      <c r="BK51" s="54"/>
      <c r="BL51" s="54"/>
      <c r="BM51" s="54"/>
      <c r="BN51" s="54"/>
      <c r="BO51" s="54"/>
      <c r="BP51" s="54"/>
      <c r="BQ51" s="54"/>
      <c r="BR51" s="56"/>
      <c r="BS51" s="114"/>
      <c r="BT51" s="99"/>
      <c r="BU51" s="2"/>
      <c r="BV51" s="22"/>
    </row>
    <row r="52" spans="1:74">
      <c r="A52" s="2"/>
      <c r="B52" s="106"/>
      <c r="C52" s="109"/>
      <c r="D52" s="45" t="str">
        <f>IF(BV50&gt;0,DATEDIF(BV50,$BV$1,"YM"),"")</f>
        <v/>
      </c>
      <c r="E52" s="1" t="s">
        <v>23</v>
      </c>
      <c r="F52" s="112"/>
      <c r="G52" s="112"/>
      <c r="H52" s="115"/>
      <c r="I52" s="20" t="s">
        <v>24</v>
      </c>
      <c r="J52" s="93"/>
      <c r="K52" s="94"/>
      <c r="L52" s="94"/>
      <c r="M52" s="94"/>
      <c r="N52" s="95"/>
      <c r="O52" s="93"/>
      <c r="P52" s="94"/>
      <c r="Q52" s="94"/>
      <c r="R52" s="94"/>
      <c r="S52" s="95"/>
      <c r="T52" s="87"/>
      <c r="U52" s="88"/>
      <c r="V52" s="88"/>
      <c r="W52" s="88"/>
      <c r="X52" s="89"/>
      <c r="Y52" s="87"/>
      <c r="Z52" s="88"/>
      <c r="AA52" s="88"/>
      <c r="AB52" s="88"/>
      <c r="AC52" s="89"/>
      <c r="AD52" s="87"/>
      <c r="AE52" s="88"/>
      <c r="AF52" s="88"/>
      <c r="AG52" s="88"/>
      <c r="AH52" s="89"/>
      <c r="AI52" s="87"/>
      <c r="AJ52" s="88"/>
      <c r="AK52" s="88"/>
      <c r="AL52" s="88"/>
      <c r="AM52" s="89"/>
      <c r="AN52" s="87"/>
      <c r="AO52" s="88"/>
      <c r="AP52" s="88"/>
      <c r="AQ52" s="88"/>
      <c r="AR52" s="89"/>
      <c r="AS52" s="87"/>
      <c r="AT52" s="88"/>
      <c r="AU52" s="88"/>
      <c r="AV52" s="88"/>
      <c r="AW52" s="89"/>
      <c r="AX52" s="87"/>
      <c r="AY52" s="88"/>
      <c r="AZ52" s="88"/>
      <c r="BA52" s="88"/>
      <c r="BB52" s="89"/>
      <c r="BC52" s="87"/>
      <c r="BD52" s="88"/>
      <c r="BE52" s="88"/>
      <c r="BF52" s="88"/>
      <c r="BG52" s="89"/>
      <c r="BH52" s="87"/>
      <c r="BI52" s="88"/>
      <c r="BJ52" s="88"/>
      <c r="BK52" s="88"/>
      <c r="BL52" s="89"/>
      <c r="BM52" s="87"/>
      <c r="BN52" s="88"/>
      <c r="BO52" s="88"/>
      <c r="BP52" s="88"/>
      <c r="BQ52" s="89"/>
      <c r="BR52" s="47" t="str">
        <f>IF(SUM(J52:BQ52)&gt;0,SUM(J52:BQ52),"")</f>
        <v/>
      </c>
      <c r="BS52" s="115"/>
      <c r="BT52" s="100"/>
      <c r="BU52" s="2"/>
      <c r="BV52" s="57" t="str">
        <f>IF(ISBLANK(BV50),"",DATEDIF(BV50,$BV$1,"Y")&amp;"年"&amp;DATEDIF(BV50,$BV$1,"YM")&amp;"ヶ月")</f>
        <v/>
      </c>
    </row>
    <row r="53" spans="1:74">
      <c r="A53" s="2"/>
      <c r="B53" s="104"/>
      <c r="C53" s="107"/>
      <c r="D53" s="44" t="str">
        <f>IF(BV53&gt;0,DATEDIF(BV53,$BV$1,"Y"),"")</f>
        <v/>
      </c>
      <c r="E53" s="18" t="s">
        <v>3</v>
      </c>
      <c r="F53" s="110"/>
      <c r="G53" s="110"/>
      <c r="H53" s="113">
        <f>SUM(F53:G55)</f>
        <v>0</v>
      </c>
      <c r="I53" s="19" t="s">
        <v>22</v>
      </c>
      <c r="J53" s="90"/>
      <c r="K53" s="91"/>
      <c r="L53" s="91"/>
      <c r="M53" s="91"/>
      <c r="N53" s="92"/>
      <c r="O53" s="90"/>
      <c r="P53" s="91"/>
      <c r="Q53" s="91"/>
      <c r="R53" s="91"/>
      <c r="S53" s="92"/>
      <c r="T53" s="84"/>
      <c r="U53" s="85"/>
      <c r="V53" s="85"/>
      <c r="W53" s="85"/>
      <c r="X53" s="86"/>
      <c r="Y53" s="84"/>
      <c r="Z53" s="85"/>
      <c r="AA53" s="85"/>
      <c r="AB53" s="85"/>
      <c r="AC53" s="86"/>
      <c r="AD53" s="84"/>
      <c r="AE53" s="85"/>
      <c r="AF53" s="85"/>
      <c r="AG53" s="85"/>
      <c r="AH53" s="86"/>
      <c r="AI53" s="84"/>
      <c r="AJ53" s="85"/>
      <c r="AK53" s="85"/>
      <c r="AL53" s="85"/>
      <c r="AM53" s="86"/>
      <c r="AN53" s="84"/>
      <c r="AO53" s="85"/>
      <c r="AP53" s="85"/>
      <c r="AQ53" s="85"/>
      <c r="AR53" s="86"/>
      <c r="AS53" s="84"/>
      <c r="AT53" s="85"/>
      <c r="AU53" s="85"/>
      <c r="AV53" s="85"/>
      <c r="AW53" s="86"/>
      <c r="AX53" s="84"/>
      <c r="AY53" s="85"/>
      <c r="AZ53" s="85"/>
      <c r="BA53" s="85"/>
      <c r="BB53" s="86"/>
      <c r="BC53" s="84"/>
      <c r="BD53" s="85"/>
      <c r="BE53" s="85"/>
      <c r="BF53" s="85"/>
      <c r="BG53" s="86"/>
      <c r="BH53" s="84"/>
      <c r="BI53" s="85"/>
      <c r="BJ53" s="85"/>
      <c r="BK53" s="85"/>
      <c r="BL53" s="86"/>
      <c r="BM53" s="84"/>
      <c r="BN53" s="85"/>
      <c r="BO53" s="85"/>
      <c r="BP53" s="85"/>
      <c r="BQ53" s="86"/>
      <c r="BR53" s="46" t="str">
        <f>IF(SUM(J53:BQ53)&gt;0,SUM(J53:BQ53),"")</f>
        <v/>
      </c>
      <c r="BS53" s="113">
        <f>H53-SUM(J55:BQ55)</f>
        <v>0</v>
      </c>
      <c r="BT53" s="98"/>
      <c r="BU53" s="2"/>
      <c r="BV53" s="22"/>
    </row>
    <row r="54" spans="1:74">
      <c r="A54" s="2"/>
      <c r="B54" s="105"/>
      <c r="C54" s="108"/>
      <c r="D54" s="55"/>
      <c r="E54" s="27"/>
      <c r="F54" s="111"/>
      <c r="G54" s="111"/>
      <c r="H54" s="114"/>
      <c r="I54" s="28"/>
      <c r="J54" s="53"/>
      <c r="K54" s="53"/>
      <c r="L54" s="53"/>
      <c r="M54" s="53"/>
      <c r="N54" s="53"/>
      <c r="O54" s="53"/>
      <c r="P54" s="53"/>
      <c r="Q54" s="53"/>
      <c r="R54" s="53"/>
      <c r="S54" s="53"/>
      <c r="T54" s="54"/>
      <c r="U54" s="54"/>
      <c r="V54" s="54"/>
      <c r="W54" s="54"/>
      <c r="X54" s="54"/>
      <c r="Y54" s="54"/>
      <c r="Z54" s="54"/>
      <c r="AA54" s="54"/>
      <c r="AB54" s="54"/>
      <c r="AC54" s="54"/>
      <c r="AD54" s="54"/>
      <c r="AE54" s="54"/>
      <c r="AF54" s="54"/>
      <c r="AG54" s="54"/>
      <c r="AH54" s="54"/>
      <c r="AI54" s="54"/>
      <c r="AJ54" s="54"/>
      <c r="AK54" s="54"/>
      <c r="AL54" s="54"/>
      <c r="AM54" s="54"/>
      <c r="AN54" s="54"/>
      <c r="AO54" s="54"/>
      <c r="AP54" s="54"/>
      <c r="AQ54" s="54"/>
      <c r="AR54" s="54"/>
      <c r="AS54" s="54"/>
      <c r="AT54" s="54"/>
      <c r="AU54" s="54"/>
      <c r="AV54" s="54"/>
      <c r="AW54" s="54"/>
      <c r="AX54" s="54"/>
      <c r="AY54" s="54"/>
      <c r="AZ54" s="54"/>
      <c r="BA54" s="54"/>
      <c r="BB54" s="54"/>
      <c r="BC54" s="54"/>
      <c r="BD54" s="54"/>
      <c r="BE54" s="54"/>
      <c r="BF54" s="54"/>
      <c r="BG54" s="54"/>
      <c r="BH54" s="54"/>
      <c r="BI54" s="54"/>
      <c r="BJ54" s="54"/>
      <c r="BK54" s="54"/>
      <c r="BL54" s="54"/>
      <c r="BM54" s="54"/>
      <c r="BN54" s="54"/>
      <c r="BO54" s="54"/>
      <c r="BP54" s="54"/>
      <c r="BQ54" s="54"/>
      <c r="BR54" s="56"/>
      <c r="BS54" s="114"/>
      <c r="BT54" s="99"/>
      <c r="BU54" s="2"/>
      <c r="BV54" s="22"/>
    </row>
    <row r="55" spans="1:74">
      <c r="A55" s="2"/>
      <c r="B55" s="106"/>
      <c r="C55" s="109"/>
      <c r="D55" s="45" t="str">
        <f>IF(BV53&gt;0,DATEDIF(BV53,$BV$1,"YM"),"")</f>
        <v/>
      </c>
      <c r="E55" s="1" t="s">
        <v>23</v>
      </c>
      <c r="F55" s="112"/>
      <c r="G55" s="112"/>
      <c r="H55" s="115"/>
      <c r="I55" s="20" t="s">
        <v>24</v>
      </c>
      <c r="J55" s="93"/>
      <c r="K55" s="94"/>
      <c r="L55" s="94"/>
      <c r="M55" s="94"/>
      <c r="N55" s="95"/>
      <c r="O55" s="93"/>
      <c r="P55" s="94"/>
      <c r="Q55" s="94"/>
      <c r="R55" s="94"/>
      <c r="S55" s="95"/>
      <c r="T55" s="87"/>
      <c r="U55" s="88"/>
      <c r="V55" s="88"/>
      <c r="W55" s="88"/>
      <c r="X55" s="89"/>
      <c r="Y55" s="87"/>
      <c r="Z55" s="88"/>
      <c r="AA55" s="88"/>
      <c r="AB55" s="88"/>
      <c r="AC55" s="89"/>
      <c r="AD55" s="87"/>
      <c r="AE55" s="88"/>
      <c r="AF55" s="88"/>
      <c r="AG55" s="88"/>
      <c r="AH55" s="89"/>
      <c r="AI55" s="87"/>
      <c r="AJ55" s="88"/>
      <c r="AK55" s="88"/>
      <c r="AL55" s="88"/>
      <c r="AM55" s="89"/>
      <c r="AN55" s="87"/>
      <c r="AO55" s="88"/>
      <c r="AP55" s="88"/>
      <c r="AQ55" s="88"/>
      <c r="AR55" s="89"/>
      <c r="AS55" s="87"/>
      <c r="AT55" s="88"/>
      <c r="AU55" s="88"/>
      <c r="AV55" s="88"/>
      <c r="AW55" s="89"/>
      <c r="AX55" s="87"/>
      <c r="AY55" s="88"/>
      <c r="AZ55" s="88"/>
      <c r="BA55" s="88"/>
      <c r="BB55" s="89"/>
      <c r="BC55" s="87"/>
      <c r="BD55" s="88"/>
      <c r="BE55" s="88"/>
      <c r="BF55" s="88"/>
      <c r="BG55" s="89"/>
      <c r="BH55" s="87"/>
      <c r="BI55" s="88"/>
      <c r="BJ55" s="88"/>
      <c r="BK55" s="88"/>
      <c r="BL55" s="89"/>
      <c r="BM55" s="87"/>
      <c r="BN55" s="88"/>
      <c r="BO55" s="88"/>
      <c r="BP55" s="88"/>
      <c r="BQ55" s="89"/>
      <c r="BR55" s="47" t="str">
        <f>IF(SUM(J55:BQ55)&gt;0,SUM(J55:BQ55),"")</f>
        <v/>
      </c>
      <c r="BS55" s="115"/>
      <c r="BT55" s="100"/>
      <c r="BU55" s="2"/>
      <c r="BV55" s="57" t="str">
        <f>IF(ISBLANK(BV53),"",DATEDIF(BV53,$BV$1,"Y")&amp;"年"&amp;DATEDIF(BV53,$BV$1,"YM")&amp;"ヶ月")</f>
        <v/>
      </c>
    </row>
    <row r="56" spans="1:74">
      <c r="A56" s="2"/>
      <c r="B56" s="104"/>
      <c r="C56" s="107"/>
      <c r="D56" s="44" t="str">
        <f>IF(BV56&gt;0,DATEDIF(BV56,$BV$1,"Y"),"")</f>
        <v/>
      </c>
      <c r="E56" s="18" t="s">
        <v>3</v>
      </c>
      <c r="F56" s="110"/>
      <c r="G56" s="110"/>
      <c r="H56" s="113">
        <f>SUM(F56:G58)</f>
        <v>0</v>
      </c>
      <c r="I56" s="19" t="s">
        <v>22</v>
      </c>
      <c r="J56" s="90"/>
      <c r="K56" s="91"/>
      <c r="L56" s="91"/>
      <c r="M56" s="91"/>
      <c r="N56" s="92"/>
      <c r="O56" s="90"/>
      <c r="P56" s="91"/>
      <c r="Q56" s="91"/>
      <c r="R56" s="91"/>
      <c r="S56" s="92"/>
      <c r="T56" s="84"/>
      <c r="U56" s="85"/>
      <c r="V56" s="85"/>
      <c r="W56" s="85"/>
      <c r="X56" s="86"/>
      <c r="Y56" s="84"/>
      <c r="Z56" s="85"/>
      <c r="AA56" s="85"/>
      <c r="AB56" s="85"/>
      <c r="AC56" s="86"/>
      <c r="AD56" s="84"/>
      <c r="AE56" s="85"/>
      <c r="AF56" s="85"/>
      <c r="AG56" s="85"/>
      <c r="AH56" s="86"/>
      <c r="AI56" s="84"/>
      <c r="AJ56" s="85"/>
      <c r="AK56" s="85"/>
      <c r="AL56" s="85"/>
      <c r="AM56" s="86"/>
      <c r="AN56" s="84"/>
      <c r="AO56" s="85"/>
      <c r="AP56" s="85"/>
      <c r="AQ56" s="85"/>
      <c r="AR56" s="86"/>
      <c r="AS56" s="84"/>
      <c r="AT56" s="85"/>
      <c r="AU56" s="85"/>
      <c r="AV56" s="85"/>
      <c r="AW56" s="86"/>
      <c r="AX56" s="84"/>
      <c r="AY56" s="85"/>
      <c r="AZ56" s="85"/>
      <c r="BA56" s="85"/>
      <c r="BB56" s="86"/>
      <c r="BC56" s="84"/>
      <c r="BD56" s="85"/>
      <c r="BE56" s="85"/>
      <c r="BF56" s="85"/>
      <c r="BG56" s="86"/>
      <c r="BH56" s="84"/>
      <c r="BI56" s="85"/>
      <c r="BJ56" s="85"/>
      <c r="BK56" s="85"/>
      <c r="BL56" s="86"/>
      <c r="BM56" s="84"/>
      <c r="BN56" s="85"/>
      <c r="BO56" s="85"/>
      <c r="BP56" s="85"/>
      <c r="BQ56" s="86"/>
      <c r="BR56" s="46" t="str">
        <f>IF(SUM(J56:BQ56)&gt;0,SUM(J56:BQ56),"")</f>
        <v/>
      </c>
      <c r="BS56" s="113">
        <f>H56-SUM(J58:BQ58)</f>
        <v>0</v>
      </c>
      <c r="BT56" s="98"/>
      <c r="BU56" s="2"/>
      <c r="BV56" s="22"/>
    </row>
    <row r="57" spans="1:74">
      <c r="A57" s="2"/>
      <c r="B57" s="105"/>
      <c r="C57" s="108"/>
      <c r="D57" s="55"/>
      <c r="E57" s="27"/>
      <c r="F57" s="111"/>
      <c r="G57" s="111"/>
      <c r="H57" s="114"/>
      <c r="I57" s="28"/>
      <c r="J57" s="53"/>
      <c r="K57" s="53"/>
      <c r="L57" s="53"/>
      <c r="M57" s="53"/>
      <c r="N57" s="53"/>
      <c r="O57" s="53"/>
      <c r="P57" s="53"/>
      <c r="Q57" s="53"/>
      <c r="R57" s="53"/>
      <c r="S57" s="53"/>
      <c r="T57" s="54"/>
      <c r="U57" s="54"/>
      <c r="V57" s="54"/>
      <c r="W57" s="54"/>
      <c r="X57" s="54"/>
      <c r="Y57" s="54"/>
      <c r="Z57" s="54"/>
      <c r="AA57" s="54"/>
      <c r="AB57" s="54"/>
      <c r="AC57" s="54"/>
      <c r="AD57" s="54"/>
      <c r="AE57" s="54"/>
      <c r="AF57" s="54"/>
      <c r="AG57" s="54"/>
      <c r="AH57" s="54"/>
      <c r="AI57" s="54"/>
      <c r="AJ57" s="54"/>
      <c r="AK57" s="54"/>
      <c r="AL57" s="54"/>
      <c r="AM57" s="54"/>
      <c r="AN57" s="54"/>
      <c r="AO57" s="54"/>
      <c r="AP57" s="54"/>
      <c r="AQ57" s="54"/>
      <c r="AR57" s="54"/>
      <c r="AS57" s="54"/>
      <c r="AT57" s="54"/>
      <c r="AU57" s="54"/>
      <c r="AV57" s="54"/>
      <c r="AW57" s="54"/>
      <c r="AX57" s="54"/>
      <c r="AY57" s="54"/>
      <c r="AZ57" s="54"/>
      <c r="BA57" s="54"/>
      <c r="BB57" s="54"/>
      <c r="BC57" s="54"/>
      <c r="BD57" s="54"/>
      <c r="BE57" s="54"/>
      <c r="BF57" s="54"/>
      <c r="BG57" s="54"/>
      <c r="BH57" s="54"/>
      <c r="BI57" s="54"/>
      <c r="BJ57" s="54"/>
      <c r="BK57" s="54"/>
      <c r="BL57" s="54"/>
      <c r="BM57" s="54"/>
      <c r="BN57" s="54"/>
      <c r="BO57" s="54"/>
      <c r="BP57" s="54"/>
      <c r="BQ57" s="54"/>
      <c r="BR57" s="56"/>
      <c r="BS57" s="114"/>
      <c r="BT57" s="99"/>
      <c r="BU57" s="2"/>
      <c r="BV57" s="22"/>
    </row>
    <row r="58" spans="1:74">
      <c r="A58" s="2"/>
      <c r="B58" s="106"/>
      <c r="C58" s="109"/>
      <c r="D58" s="45" t="str">
        <f>IF(BV56&gt;0,DATEDIF(BV56,$BV$1,"YM"),"")</f>
        <v/>
      </c>
      <c r="E58" s="1" t="s">
        <v>23</v>
      </c>
      <c r="F58" s="112"/>
      <c r="G58" s="112"/>
      <c r="H58" s="115"/>
      <c r="I58" s="20" t="s">
        <v>24</v>
      </c>
      <c r="J58" s="93"/>
      <c r="K58" s="94"/>
      <c r="L58" s="94"/>
      <c r="M58" s="94"/>
      <c r="N58" s="95"/>
      <c r="O58" s="93"/>
      <c r="P58" s="94"/>
      <c r="Q58" s="94"/>
      <c r="R58" s="94"/>
      <c r="S58" s="95"/>
      <c r="T58" s="87"/>
      <c r="U58" s="88"/>
      <c r="V58" s="88"/>
      <c r="W58" s="88"/>
      <c r="X58" s="89"/>
      <c r="Y58" s="87"/>
      <c r="Z58" s="88"/>
      <c r="AA58" s="88"/>
      <c r="AB58" s="88"/>
      <c r="AC58" s="89"/>
      <c r="AD58" s="87"/>
      <c r="AE58" s="88"/>
      <c r="AF58" s="88"/>
      <c r="AG58" s="88"/>
      <c r="AH58" s="89"/>
      <c r="AI58" s="87"/>
      <c r="AJ58" s="88"/>
      <c r="AK58" s="88"/>
      <c r="AL58" s="88"/>
      <c r="AM58" s="89"/>
      <c r="AN58" s="87"/>
      <c r="AO58" s="88"/>
      <c r="AP58" s="88"/>
      <c r="AQ58" s="88"/>
      <c r="AR58" s="89"/>
      <c r="AS58" s="87"/>
      <c r="AT58" s="88"/>
      <c r="AU58" s="88"/>
      <c r="AV58" s="88"/>
      <c r="AW58" s="89"/>
      <c r="AX58" s="87"/>
      <c r="AY58" s="88"/>
      <c r="AZ58" s="88"/>
      <c r="BA58" s="88"/>
      <c r="BB58" s="89"/>
      <c r="BC58" s="87"/>
      <c r="BD58" s="88"/>
      <c r="BE58" s="88"/>
      <c r="BF58" s="88"/>
      <c r="BG58" s="89"/>
      <c r="BH58" s="87"/>
      <c r="BI58" s="88"/>
      <c r="BJ58" s="88"/>
      <c r="BK58" s="88"/>
      <c r="BL58" s="89"/>
      <c r="BM58" s="87"/>
      <c r="BN58" s="88"/>
      <c r="BO58" s="88"/>
      <c r="BP58" s="88"/>
      <c r="BQ58" s="89"/>
      <c r="BR58" s="47" t="str">
        <f>IF(SUM(J58:BQ58)&gt;0,SUM(J58:BQ58),"")</f>
        <v/>
      </c>
      <c r="BS58" s="115"/>
      <c r="BT58" s="100"/>
      <c r="BU58" s="2"/>
      <c r="BV58" s="57" t="str">
        <f>IF(ISBLANK(BV56),"",DATEDIF(BV56,$BV$1,"Y")&amp;"年"&amp;DATEDIF(BV56,$BV$1,"YM")&amp;"ヶ月")</f>
        <v/>
      </c>
    </row>
    <row r="59" spans="1:74">
      <c r="A59" s="2"/>
      <c r="B59" s="2"/>
      <c r="C59" s="2"/>
      <c r="D59" s="2"/>
      <c r="E59" s="2"/>
      <c r="F59" s="5"/>
      <c r="G59" s="5"/>
      <c r="H59" s="5"/>
      <c r="I59" s="2"/>
      <c r="J59" s="29"/>
      <c r="K59" s="29"/>
      <c r="L59" s="29"/>
      <c r="M59" s="29"/>
      <c r="N59" s="29"/>
      <c r="O59" s="29"/>
      <c r="P59" s="29"/>
      <c r="Q59" s="29"/>
      <c r="R59" s="29"/>
      <c r="S59" s="29"/>
      <c r="T59" s="29"/>
      <c r="U59" s="29"/>
      <c r="V59" s="29"/>
      <c r="W59" s="29"/>
      <c r="X59" s="29"/>
      <c r="Y59" s="29"/>
      <c r="Z59" s="29"/>
      <c r="AA59" s="29"/>
      <c r="AB59" s="29"/>
      <c r="AC59" s="29"/>
      <c r="AD59" s="29"/>
      <c r="AE59" s="29"/>
      <c r="AF59" s="29"/>
      <c r="AG59" s="29"/>
      <c r="AH59" s="29"/>
      <c r="AI59" s="29"/>
      <c r="AJ59" s="29"/>
      <c r="AK59" s="29"/>
      <c r="AL59" s="29"/>
      <c r="AM59" s="29"/>
      <c r="AN59" s="29"/>
      <c r="AO59" s="29"/>
      <c r="AP59" s="29"/>
      <c r="AQ59" s="29"/>
      <c r="AR59" s="29"/>
      <c r="AS59" s="29"/>
      <c r="AT59" s="29"/>
      <c r="AU59" s="29"/>
      <c r="AV59" s="29"/>
      <c r="AW59" s="29"/>
      <c r="AX59" s="29"/>
      <c r="AY59" s="29"/>
      <c r="AZ59" s="29"/>
      <c r="BA59" s="29"/>
      <c r="BB59" s="29"/>
      <c r="BC59" s="29"/>
      <c r="BD59" s="29"/>
      <c r="BE59" s="29"/>
      <c r="BF59" s="29"/>
      <c r="BG59" s="29"/>
      <c r="BH59" s="29"/>
      <c r="BI59" s="29"/>
      <c r="BJ59" s="29"/>
      <c r="BK59" s="29"/>
      <c r="BL59" s="29"/>
      <c r="BM59" s="29"/>
      <c r="BN59" s="29"/>
      <c r="BO59" s="29"/>
      <c r="BP59" s="29"/>
      <c r="BQ59" s="29"/>
      <c r="BR59" s="2"/>
      <c r="BS59" s="2"/>
      <c r="BT59" s="5"/>
      <c r="BU59" s="2"/>
    </row>
    <row r="60" spans="1:74">
      <c r="BR60" s="2"/>
    </row>
    <row r="62" spans="1:74">
      <c r="J62" s="24">
        <f>J4</f>
        <v>4</v>
      </c>
      <c r="K62" s="24">
        <f>$J$62</f>
        <v>4</v>
      </c>
      <c r="L62" s="24">
        <f t="shared" ref="L62:N62" si="0">$J$62</f>
        <v>4</v>
      </c>
      <c r="M62" s="24">
        <f t="shared" si="0"/>
        <v>4</v>
      </c>
      <c r="N62" s="24">
        <f t="shared" si="0"/>
        <v>4</v>
      </c>
      <c r="O62" s="24">
        <f t="shared" ref="O62" si="1">O4</f>
        <v>5</v>
      </c>
      <c r="P62" s="24">
        <f>$O$62</f>
        <v>5</v>
      </c>
      <c r="Q62" s="24">
        <f t="shared" ref="Q62:S62" si="2">$O$62</f>
        <v>5</v>
      </c>
      <c r="R62" s="24">
        <f t="shared" si="2"/>
        <v>5</v>
      </c>
      <c r="S62" s="24">
        <f t="shared" si="2"/>
        <v>5</v>
      </c>
      <c r="T62" s="24">
        <f t="shared" ref="T62" si="3">T4</f>
        <v>6</v>
      </c>
      <c r="U62" s="24">
        <f>$T$62</f>
        <v>6</v>
      </c>
      <c r="V62" s="24">
        <f t="shared" ref="V62:X62" si="4">$T$62</f>
        <v>6</v>
      </c>
      <c r="W62" s="24">
        <f t="shared" si="4"/>
        <v>6</v>
      </c>
      <c r="X62" s="24">
        <f t="shared" si="4"/>
        <v>6</v>
      </c>
      <c r="Y62" s="24">
        <f t="shared" ref="Y62" si="5">Y4</f>
        <v>7</v>
      </c>
      <c r="Z62" s="24">
        <f>$Y$62</f>
        <v>7</v>
      </c>
      <c r="AA62" s="24">
        <f t="shared" ref="AA62:AC62" si="6">$Y$62</f>
        <v>7</v>
      </c>
      <c r="AB62" s="24">
        <f t="shared" si="6"/>
        <v>7</v>
      </c>
      <c r="AC62" s="24">
        <f t="shared" si="6"/>
        <v>7</v>
      </c>
      <c r="AD62" s="24">
        <f t="shared" ref="AD62" si="7">AD4</f>
        <v>8</v>
      </c>
      <c r="AE62" s="24">
        <f>$AD$62</f>
        <v>8</v>
      </c>
      <c r="AF62" s="24">
        <f t="shared" ref="AF62:AH62" si="8">$AD$62</f>
        <v>8</v>
      </c>
      <c r="AG62" s="24">
        <f t="shared" si="8"/>
        <v>8</v>
      </c>
      <c r="AH62" s="24">
        <f t="shared" si="8"/>
        <v>8</v>
      </c>
      <c r="AI62" s="24">
        <f t="shared" ref="AI62" si="9">AI4</f>
        <v>9</v>
      </c>
      <c r="AJ62" s="24">
        <f>$AI$62</f>
        <v>9</v>
      </c>
      <c r="AK62" s="24">
        <f t="shared" ref="AK62:AM62" si="10">$AI$62</f>
        <v>9</v>
      </c>
      <c r="AL62" s="24">
        <f t="shared" si="10"/>
        <v>9</v>
      </c>
      <c r="AM62" s="24">
        <f t="shared" si="10"/>
        <v>9</v>
      </c>
      <c r="AN62" s="24">
        <f t="shared" ref="AN62" si="11">AN4</f>
        <v>10</v>
      </c>
      <c r="AO62" s="24">
        <f>$AN$62</f>
        <v>10</v>
      </c>
      <c r="AP62" s="24">
        <f t="shared" ref="AP62:AR62" si="12">$AN$62</f>
        <v>10</v>
      </c>
      <c r="AQ62" s="24">
        <f t="shared" si="12"/>
        <v>10</v>
      </c>
      <c r="AR62" s="24">
        <f t="shared" si="12"/>
        <v>10</v>
      </c>
      <c r="AS62" s="24">
        <f t="shared" ref="AS62" si="13">AS4</f>
        <v>11</v>
      </c>
      <c r="AT62" s="24">
        <f>$AS$62</f>
        <v>11</v>
      </c>
      <c r="AU62" s="24">
        <f t="shared" ref="AU62:AW62" si="14">$AS$62</f>
        <v>11</v>
      </c>
      <c r="AV62" s="24">
        <f t="shared" si="14"/>
        <v>11</v>
      </c>
      <c r="AW62" s="24">
        <f t="shared" si="14"/>
        <v>11</v>
      </c>
      <c r="AX62" s="24">
        <f t="shared" ref="AX62" si="15">AX4</f>
        <v>12</v>
      </c>
      <c r="AY62" s="24">
        <f>$AX$62</f>
        <v>12</v>
      </c>
      <c r="AZ62" s="24">
        <f t="shared" ref="AZ62:BB62" si="16">$AX$62</f>
        <v>12</v>
      </c>
      <c r="BA62" s="24">
        <f t="shared" si="16"/>
        <v>12</v>
      </c>
      <c r="BB62" s="24">
        <f t="shared" si="16"/>
        <v>12</v>
      </c>
      <c r="BC62" s="24">
        <f>BC4+12</f>
        <v>13</v>
      </c>
      <c r="BD62" s="24">
        <f>$BC$62</f>
        <v>13</v>
      </c>
      <c r="BE62" s="24">
        <f t="shared" ref="BE62:BG62" si="17">$BC$62</f>
        <v>13</v>
      </c>
      <c r="BF62" s="24">
        <f t="shared" si="17"/>
        <v>13</v>
      </c>
      <c r="BG62" s="24">
        <f t="shared" si="17"/>
        <v>13</v>
      </c>
      <c r="BH62" s="24">
        <f>BH4+12</f>
        <v>14</v>
      </c>
      <c r="BI62" s="24">
        <f>$BH$62</f>
        <v>14</v>
      </c>
      <c r="BJ62" s="24">
        <f t="shared" ref="BJ62:BL62" si="18">$BH$62</f>
        <v>14</v>
      </c>
      <c r="BK62" s="24">
        <f t="shared" si="18"/>
        <v>14</v>
      </c>
      <c r="BL62" s="24">
        <f t="shared" si="18"/>
        <v>14</v>
      </c>
      <c r="BM62" s="24">
        <f>BM4+12</f>
        <v>15</v>
      </c>
      <c r="BN62" s="24">
        <f>$BM$62</f>
        <v>15</v>
      </c>
      <c r="BO62" s="24">
        <f t="shared" ref="BO62:BQ62" si="19">$BM$62</f>
        <v>15</v>
      </c>
      <c r="BP62" s="24">
        <f t="shared" si="19"/>
        <v>15</v>
      </c>
      <c r="BQ62" s="24">
        <f t="shared" si="19"/>
        <v>15</v>
      </c>
    </row>
  </sheetData>
  <mergeCells count="576">
    <mergeCell ref="B1:BT1"/>
    <mergeCell ref="BH3:BJ3"/>
    <mergeCell ref="BK3:BM3"/>
    <mergeCell ref="BN3:BO3"/>
    <mergeCell ref="BP3:BQ3"/>
    <mergeCell ref="D4:E4"/>
    <mergeCell ref="J4:N4"/>
    <mergeCell ref="O4:S4"/>
    <mergeCell ref="T4:X4"/>
    <mergeCell ref="Y4:AC4"/>
    <mergeCell ref="BH4:BL4"/>
    <mergeCell ref="BM4:BQ4"/>
    <mergeCell ref="AI4:AM4"/>
    <mergeCell ref="AN4:AR4"/>
    <mergeCell ref="AS4:AW4"/>
    <mergeCell ref="AX4:BB4"/>
    <mergeCell ref="BC4:BG4"/>
    <mergeCell ref="B5:B7"/>
    <mergeCell ref="C5:C7"/>
    <mergeCell ref="F5:F7"/>
    <mergeCell ref="G5:G7"/>
    <mergeCell ref="H5:H7"/>
    <mergeCell ref="J5:N5"/>
    <mergeCell ref="O5:S5"/>
    <mergeCell ref="T5:X5"/>
    <mergeCell ref="AD4:AH4"/>
    <mergeCell ref="BC5:BG5"/>
    <mergeCell ref="BH5:BL5"/>
    <mergeCell ref="BM5:BQ5"/>
    <mergeCell ref="BS5:BS7"/>
    <mergeCell ref="BT5:BT7"/>
    <mergeCell ref="J7:N7"/>
    <mergeCell ref="O7:S7"/>
    <mergeCell ref="T7:X7"/>
    <mergeCell ref="Y7:AC7"/>
    <mergeCell ref="AD7:AH7"/>
    <mergeCell ref="Y5:AC5"/>
    <mergeCell ref="AD5:AH5"/>
    <mergeCell ref="AI5:AM5"/>
    <mergeCell ref="AN5:AR5"/>
    <mergeCell ref="AS5:AW5"/>
    <mergeCell ref="AX5:BB5"/>
    <mergeCell ref="BM7:BQ7"/>
    <mergeCell ref="AI7:AM7"/>
    <mergeCell ref="AN7:AR7"/>
    <mergeCell ref="AS7:AW7"/>
    <mergeCell ref="AX7:BB7"/>
    <mergeCell ref="BC7:BG7"/>
    <mergeCell ref="BH7:BL7"/>
    <mergeCell ref="B8:B10"/>
    <mergeCell ref="C8:C10"/>
    <mergeCell ref="F8:F10"/>
    <mergeCell ref="G8:G10"/>
    <mergeCell ref="H8:H10"/>
    <mergeCell ref="J8:N8"/>
    <mergeCell ref="O8:S8"/>
    <mergeCell ref="T8:X8"/>
    <mergeCell ref="Y8:AC8"/>
    <mergeCell ref="BT8:BT10"/>
    <mergeCell ref="J10:N10"/>
    <mergeCell ref="O10:S10"/>
    <mergeCell ref="T10:X10"/>
    <mergeCell ref="Y10:AC10"/>
    <mergeCell ref="AD10:AH10"/>
    <mergeCell ref="AI10:AM10"/>
    <mergeCell ref="AD8:AH8"/>
    <mergeCell ref="AI8:AM8"/>
    <mergeCell ref="AN8:AR8"/>
    <mergeCell ref="AS8:AW8"/>
    <mergeCell ref="AX8:BB8"/>
    <mergeCell ref="BC8:BG8"/>
    <mergeCell ref="AN10:AR10"/>
    <mergeCell ref="AS10:AW10"/>
    <mergeCell ref="AX10:BB10"/>
    <mergeCell ref="BC10:BG10"/>
    <mergeCell ref="BH10:BL10"/>
    <mergeCell ref="BM10:BQ10"/>
    <mergeCell ref="BH8:BL8"/>
    <mergeCell ref="BM8:BQ8"/>
    <mergeCell ref="BS8:BS10"/>
    <mergeCell ref="BH13:BL13"/>
    <mergeCell ref="BM13:BQ13"/>
    <mergeCell ref="O11:S11"/>
    <mergeCell ref="T11:X11"/>
    <mergeCell ref="Y11:AC11"/>
    <mergeCell ref="AD11:AH11"/>
    <mergeCell ref="AI11:AM11"/>
    <mergeCell ref="AN11:AR11"/>
    <mergeCell ref="B11:B13"/>
    <mergeCell ref="C11:C13"/>
    <mergeCell ref="F11:F13"/>
    <mergeCell ref="G11:G13"/>
    <mergeCell ref="H11:H13"/>
    <mergeCell ref="J11:N11"/>
    <mergeCell ref="AN14:AR14"/>
    <mergeCell ref="B14:B16"/>
    <mergeCell ref="C14:C16"/>
    <mergeCell ref="F14:F16"/>
    <mergeCell ref="G14:G16"/>
    <mergeCell ref="H14:H16"/>
    <mergeCell ref="J14:N14"/>
    <mergeCell ref="BT11:BT13"/>
    <mergeCell ref="J13:N13"/>
    <mergeCell ref="O13:S13"/>
    <mergeCell ref="T13:X13"/>
    <mergeCell ref="Y13:AC13"/>
    <mergeCell ref="AD13:AH13"/>
    <mergeCell ref="AI13:AM13"/>
    <mergeCell ref="AN13:AR13"/>
    <mergeCell ref="AS13:AW13"/>
    <mergeCell ref="AX13:BB13"/>
    <mergeCell ref="AS11:AW11"/>
    <mergeCell ref="AX11:BB11"/>
    <mergeCell ref="BC11:BG11"/>
    <mergeCell ref="BH11:BL11"/>
    <mergeCell ref="BM11:BQ11"/>
    <mergeCell ref="BS11:BS13"/>
    <mergeCell ref="BC13:BG13"/>
    <mergeCell ref="BT14:BT16"/>
    <mergeCell ref="J16:N16"/>
    <mergeCell ref="O16:S16"/>
    <mergeCell ref="T16:X16"/>
    <mergeCell ref="Y16:AC16"/>
    <mergeCell ref="AD16:AH16"/>
    <mergeCell ref="AI16:AM16"/>
    <mergeCell ref="AN16:AR16"/>
    <mergeCell ref="AS16:AW16"/>
    <mergeCell ref="AX16:BB16"/>
    <mergeCell ref="AS14:AW14"/>
    <mergeCell ref="AX14:BB14"/>
    <mergeCell ref="BC14:BG14"/>
    <mergeCell ref="BH14:BL14"/>
    <mergeCell ref="BM14:BQ14"/>
    <mergeCell ref="BS14:BS16"/>
    <mergeCell ref="BC16:BG16"/>
    <mergeCell ref="BH16:BL16"/>
    <mergeCell ref="BM16:BQ16"/>
    <mergeCell ref="O14:S14"/>
    <mergeCell ref="T14:X14"/>
    <mergeCell ref="Y14:AC14"/>
    <mergeCell ref="AD14:AH14"/>
    <mergeCell ref="AI14:AM14"/>
    <mergeCell ref="BH19:BL19"/>
    <mergeCell ref="BM19:BQ19"/>
    <mergeCell ref="O17:S17"/>
    <mergeCell ref="T17:X17"/>
    <mergeCell ref="Y17:AC17"/>
    <mergeCell ref="AD17:AH17"/>
    <mergeCell ref="AI17:AM17"/>
    <mergeCell ref="AN17:AR17"/>
    <mergeCell ref="B17:B19"/>
    <mergeCell ref="C17:C19"/>
    <mergeCell ref="F17:F19"/>
    <mergeCell ref="G17:G19"/>
    <mergeCell ref="H17:H19"/>
    <mergeCell ref="J17:N17"/>
    <mergeCell ref="AN20:AR20"/>
    <mergeCell ref="B20:B22"/>
    <mergeCell ref="C20:C22"/>
    <mergeCell ref="F20:F22"/>
    <mergeCell ref="G20:G22"/>
    <mergeCell ref="H20:H22"/>
    <mergeCell ref="J20:N20"/>
    <mergeCell ref="BT17:BT19"/>
    <mergeCell ref="J19:N19"/>
    <mergeCell ref="O19:S19"/>
    <mergeCell ref="T19:X19"/>
    <mergeCell ref="Y19:AC19"/>
    <mergeCell ref="AD19:AH19"/>
    <mergeCell ref="AI19:AM19"/>
    <mergeCell ref="AN19:AR19"/>
    <mergeCell ref="AS19:AW19"/>
    <mergeCell ref="AX19:BB19"/>
    <mergeCell ref="AS17:AW17"/>
    <mergeCell ref="AX17:BB17"/>
    <mergeCell ref="BC17:BG17"/>
    <mergeCell ref="BH17:BL17"/>
    <mergeCell ref="BM17:BQ17"/>
    <mergeCell ref="BS17:BS19"/>
    <mergeCell ref="BC19:BG19"/>
    <mergeCell ref="BT20:BT22"/>
    <mergeCell ref="J22:N22"/>
    <mergeCell ref="O22:S22"/>
    <mergeCell ref="T22:X22"/>
    <mergeCell ref="Y22:AC22"/>
    <mergeCell ref="AD22:AH22"/>
    <mergeCell ref="AI22:AM22"/>
    <mergeCell ref="AN22:AR22"/>
    <mergeCell ref="AS22:AW22"/>
    <mergeCell ref="AX22:BB22"/>
    <mergeCell ref="AS20:AW20"/>
    <mergeCell ref="AX20:BB20"/>
    <mergeCell ref="BC20:BG20"/>
    <mergeCell ref="BH20:BL20"/>
    <mergeCell ref="BM20:BQ20"/>
    <mergeCell ref="BS20:BS22"/>
    <mergeCell ref="BC22:BG22"/>
    <mergeCell ref="BH22:BL22"/>
    <mergeCell ref="BM22:BQ22"/>
    <mergeCell ref="O20:S20"/>
    <mergeCell ref="T20:X20"/>
    <mergeCell ref="Y20:AC20"/>
    <mergeCell ref="AD20:AH20"/>
    <mergeCell ref="AI20:AM20"/>
    <mergeCell ref="BH25:BL25"/>
    <mergeCell ref="BM25:BQ25"/>
    <mergeCell ref="O23:S23"/>
    <mergeCell ref="T23:X23"/>
    <mergeCell ref="Y23:AC23"/>
    <mergeCell ref="AD23:AH23"/>
    <mergeCell ref="AI23:AM23"/>
    <mergeCell ref="AN23:AR23"/>
    <mergeCell ref="B23:B25"/>
    <mergeCell ref="C23:C25"/>
    <mergeCell ref="F23:F25"/>
    <mergeCell ref="G23:G25"/>
    <mergeCell ref="H23:H25"/>
    <mergeCell ref="J23:N23"/>
    <mergeCell ref="AN26:AR26"/>
    <mergeCell ref="B26:B28"/>
    <mergeCell ref="C26:C28"/>
    <mergeCell ref="F26:F28"/>
    <mergeCell ref="G26:G28"/>
    <mergeCell ref="H26:H28"/>
    <mergeCell ref="J26:N26"/>
    <mergeCell ref="BT23:BT25"/>
    <mergeCell ref="J25:N25"/>
    <mergeCell ref="O25:S25"/>
    <mergeCell ref="T25:X25"/>
    <mergeCell ref="Y25:AC25"/>
    <mergeCell ref="AD25:AH25"/>
    <mergeCell ref="AI25:AM25"/>
    <mergeCell ref="AN25:AR25"/>
    <mergeCell ref="AS25:AW25"/>
    <mergeCell ref="AX25:BB25"/>
    <mergeCell ref="AS23:AW23"/>
    <mergeCell ref="AX23:BB23"/>
    <mergeCell ref="BC23:BG23"/>
    <mergeCell ref="BH23:BL23"/>
    <mergeCell ref="BM23:BQ23"/>
    <mergeCell ref="BS23:BS25"/>
    <mergeCell ref="BC25:BG25"/>
    <mergeCell ref="BT26:BT28"/>
    <mergeCell ref="J28:N28"/>
    <mergeCell ref="O28:S28"/>
    <mergeCell ref="T28:X28"/>
    <mergeCell ref="Y28:AC28"/>
    <mergeCell ref="AD28:AH28"/>
    <mergeCell ref="AI28:AM28"/>
    <mergeCell ref="AN28:AR28"/>
    <mergeCell ref="AS28:AW28"/>
    <mergeCell ref="AX28:BB28"/>
    <mergeCell ref="AS26:AW26"/>
    <mergeCell ref="AX26:BB26"/>
    <mergeCell ref="BC26:BG26"/>
    <mergeCell ref="BH26:BL26"/>
    <mergeCell ref="BM26:BQ26"/>
    <mergeCell ref="BS26:BS28"/>
    <mergeCell ref="BC28:BG28"/>
    <mergeCell ref="BH28:BL28"/>
    <mergeCell ref="BM28:BQ28"/>
    <mergeCell ref="O26:S26"/>
    <mergeCell ref="T26:X26"/>
    <mergeCell ref="Y26:AC26"/>
    <mergeCell ref="AD26:AH26"/>
    <mergeCell ref="AI26:AM26"/>
    <mergeCell ref="BH31:BL31"/>
    <mergeCell ref="BM31:BQ31"/>
    <mergeCell ref="O29:S29"/>
    <mergeCell ref="T29:X29"/>
    <mergeCell ref="Y29:AC29"/>
    <mergeCell ref="AD29:AH29"/>
    <mergeCell ref="AI29:AM29"/>
    <mergeCell ref="AN29:AR29"/>
    <mergeCell ref="B29:B31"/>
    <mergeCell ref="C29:C31"/>
    <mergeCell ref="F29:F31"/>
    <mergeCell ref="G29:G31"/>
    <mergeCell ref="H29:H31"/>
    <mergeCell ref="J29:N29"/>
    <mergeCell ref="AN32:AR32"/>
    <mergeCell ref="B32:B34"/>
    <mergeCell ref="C32:C34"/>
    <mergeCell ref="F32:F34"/>
    <mergeCell ref="G32:G34"/>
    <mergeCell ref="H32:H34"/>
    <mergeCell ref="J32:N32"/>
    <mergeCell ref="BT29:BT31"/>
    <mergeCell ref="J31:N31"/>
    <mergeCell ref="O31:S31"/>
    <mergeCell ref="T31:X31"/>
    <mergeCell ref="Y31:AC31"/>
    <mergeCell ref="AD31:AH31"/>
    <mergeCell ref="AI31:AM31"/>
    <mergeCell ref="AN31:AR31"/>
    <mergeCell ref="AS31:AW31"/>
    <mergeCell ref="AX31:BB31"/>
    <mergeCell ref="AS29:AW29"/>
    <mergeCell ref="AX29:BB29"/>
    <mergeCell ref="BC29:BG29"/>
    <mergeCell ref="BH29:BL29"/>
    <mergeCell ref="BM29:BQ29"/>
    <mergeCell ref="BS29:BS31"/>
    <mergeCell ref="BC31:BG31"/>
    <mergeCell ref="BT32:BT34"/>
    <mergeCell ref="J34:N34"/>
    <mergeCell ref="O34:S34"/>
    <mergeCell ref="T34:X34"/>
    <mergeCell ref="Y34:AC34"/>
    <mergeCell ref="AD34:AH34"/>
    <mergeCell ref="AI34:AM34"/>
    <mergeCell ref="AN34:AR34"/>
    <mergeCell ref="AS34:AW34"/>
    <mergeCell ref="AX34:BB34"/>
    <mergeCell ref="AS32:AW32"/>
    <mergeCell ref="AX32:BB32"/>
    <mergeCell ref="BC32:BG32"/>
    <mergeCell ref="BH32:BL32"/>
    <mergeCell ref="BM32:BQ32"/>
    <mergeCell ref="BS32:BS34"/>
    <mergeCell ref="BC34:BG34"/>
    <mergeCell ref="BH34:BL34"/>
    <mergeCell ref="BM34:BQ34"/>
    <mergeCell ref="O32:S32"/>
    <mergeCell ref="T32:X32"/>
    <mergeCell ref="Y32:AC32"/>
    <mergeCell ref="AD32:AH32"/>
    <mergeCell ref="AI32:AM32"/>
    <mergeCell ref="BH37:BL37"/>
    <mergeCell ref="BM37:BQ37"/>
    <mergeCell ref="O35:S35"/>
    <mergeCell ref="T35:X35"/>
    <mergeCell ref="Y35:AC35"/>
    <mergeCell ref="AD35:AH35"/>
    <mergeCell ref="AI35:AM35"/>
    <mergeCell ref="AN35:AR35"/>
    <mergeCell ref="B35:B37"/>
    <mergeCell ref="C35:C37"/>
    <mergeCell ref="F35:F37"/>
    <mergeCell ref="G35:G37"/>
    <mergeCell ref="H35:H37"/>
    <mergeCell ref="J35:N35"/>
    <mergeCell ref="AN38:AR38"/>
    <mergeCell ref="B38:B40"/>
    <mergeCell ref="C38:C40"/>
    <mergeCell ref="F38:F40"/>
    <mergeCell ref="G38:G40"/>
    <mergeCell ref="H38:H40"/>
    <mergeCell ref="J38:N38"/>
    <mergeCell ref="BT35:BT37"/>
    <mergeCell ref="J37:N37"/>
    <mergeCell ref="O37:S37"/>
    <mergeCell ref="T37:X37"/>
    <mergeCell ref="Y37:AC37"/>
    <mergeCell ref="AD37:AH37"/>
    <mergeCell ref="AI37:AM37"/>
    <mergeCell ref="AN37:AR37"/>
    <mergeCell ref="AS37:AW37"/>
    <mergeCell ref="AX37:BB37"/>
    <mergeCell ref="AS35:AW35"/>
    <mergeCell ref="AX35:BB35"/>
    <mergeCell ref="BC35:BG35"/>
    <mergeCell ref="BH35:BL35"/>
    <mergeCell ref="BM35:BQ35"/>
    <mergeCell ref="BS35:BS37"/>
    <mergeCell ref="BC37:BG37"/>
    <mergeCell ref="BT38:BT40"/>
    <mergeCell ref="J40:N40"/>
    <mergeCell ref="O40:S40"/>
    <mergeCell ref="T40:X40"/>
    <mergeCell ref="Y40:AC40"/>
    <mergeCell ref="AD40:AH40"/>
    <mergeCell ref="AI40:AM40"/>
    <mergeCell ref="AN40:AR40"/>
    <mergeCell ref="AS40:AW40"/>
    <mergeCell ref="AX40:BB40"/>
    <mergeCell ref="AS38:AW38"/>
    <mergeCell ref="AX38:BB38"/>
    <mergeCell ref="BC38:BG38"/>
    <mergeCell ref="BH38:BL38"/>
    <mergeCell ref="BM38:BQ38"/>
    <mergeCell ref="BS38:BS40"/>
    <mergeCell ref="BC40:BG40"/>
    <mergeCell ref="BH40:BL40"/>
    <mergeCell ref="BM40:BQ40"/>
    <mergeCell ref="O38:S38"/>
    <mergeCell ref="T38:X38"/>
    <mergeCell ref="Y38:AC38"/>
    <mergeCell ref="AD38:AH38"/>
    <mergeCell ref="AI38:AM38"/>
    <mergeCell ref="BH43:BL43"/>
    <mergeCell ref="BM43:BQ43"/>
    <mergeCell ref="O41:S41"/>
    <mergeCell ref="T41:X41"/>
    <mergeCell ref="Y41:AC41"/>
    <mergeCell ref="AD41:AH41"/>
    <mergeCell ref="AI41:AM41"/>
    <mergeCell ref="AN41:AR41"/>
    <mergeCell ref="B41:B43"/>
    <mergeCell ref="C41:C43"/>
    <mergeCell ref="F41:F43"/>
    <mergeCell ref="G41:G43"/>
    <mergeCell ref="H41:H43"/>
    <mergeCell ref="J41:N41"/>
    <mergeCell ref="AN44:AR44"/>
    <mergeCell ref="B44:B46"/>
    <mergeCell ref="C44:C46"/>
    <mergeCell ref="F44:F46"/>
    <mergeCell ref="G44:G46"/>
    <mergeCell ref="H44:H46"/>
    <mergeCell ref="J44:N44"/>
    <mergeCell ref="BT41:BT43"/>
    <mergeCell ref="J43:N43"/>
    <mergeCell ref="O43:S43"/>
    <mergeCell ref="T43:X43"/>
    <mergeCell ref="Y43:AC43"/>
    <mergeCell ref="AD43:AH43"/>
    <mergeCell ref="AI43:AM43"/>
    <mergeCell ref="AN43:AR43"/>
    <mergeCell ref="AS43:AW43"/>
    <mergeCell ref="AX43:BB43"/>
    <mergeCell ref="AS41:AW41"/>
    <mergeCell ref="AX41:BB41"/>
    <mergeCell ref="BC41:BG41"/>
    <mergeCell ref="BH41:BL41"/>
    <mergeCell ref="BM41:BQ41"/>
    <mergeCell ref="BS41:BS43"/>
    <mergeCell ref="BC43:BG43"/>
    <mergeCell ref="BT44:BT46"/>
    <mergeCell ref="J46:N46"/>
    <mergeCell ref="O46:S46"/>
    <mergeCell ref="T46:X46"/>
    <mergeCell ref="Y46:AC46"/>
    <mergeCell ref="AD46:AH46"/>
    <mergeCell ref="AI46:AM46"/>
    <mergeCell ref="AN46:AR46"/>
    <mergeCell ref="AS46:AW46"/>
    <mergeCell ref="AX46:BB46"/>
    <mergeCell ref="AS44:AW44"/>
    <mergeCell ref="AX44:BB44"/>
    <mergeCell ref="BC44:BG44"/>
    <mergeCell ref="BH44:BL44"/>
    <mergeCell ref="BM44:BQ44"/>
    <mergeCell ref="BS44:BS46"/>
    <mergeCell ref="BC46:BG46"/>
    <mergeCell ref="BH46:BL46"/>
    <mergeCell ref="BM46:BQ46"/>
    <mergeCell ref="O44:S44"/>
    <mergeCell ref="T44:X44"/>
    <mergeCell ref="Y44:AC44"/>
    <mergeCell ref="AD44:AH44"/>
    <mergeCell ref="AI44:AM44"/>
    <mergeCell ref="BH49:BL49"/>
    <mergeCell ref="BM49:BQ49"/>
    <mergeCell ref="O47:S47"/>
    <mergeCell ref="T47:X47"/>
    <mergeCell ref="Y47:AC47"/>
    <mergeCell ref="AD47:AH47"/>
    <mergeCell ref="AI47:AM47"/>
    <mergeCell ref="AN47:AR47"/>
    <mergeCell ref="B47:B49"/>
    <mergeCell ref="C47:C49"/>
    <mergeCell ref="F47:F49"/>
    <mergeCell ref="G47:G49"/>
    <mergeCell ref="H47:H49"/>
    <mergeCell ref="J47:N47"/>
    <mergeCell ref="AN50:AR50"/>
    <mergeCell ref="B50:B52"/>
    <mergeCell ref="C50:C52"/>
    <mergeCell ref="F50:F52"/>
    <mergeCell ref="G50:G52"/>
    <mergeCell ref="H50:H52"/>
    <mergeCell ref="J50:N50"/>
    <mergeCell ref="BT47:BT49"/>
    <mergeCell ref="J49:N49"/>
    <mergeCell ref="O49:S49"/>
    <mergeCell ref="T49:X49"/>
    <mergeCell ref="Y49:AC49"/>
    <mergeCell ref="AD49:AH49"/>
    <mergeCell ref="AI49:AM49"/>
    <mergeCell ref="AN49:AR49"/>
    <mergeCell ref="AS49:AW49"/>
    <mergeCell ref="AX49:BB49"/>
    <mergeCell ref="AS47:AW47"/>
    <mergeCell ref="AX47:BB47"/>
    <mergeCell ref="BC47:BG47"/>
    <mergeCell ref="BH47:BL47"/>
    <mergeCell ref="BM47:BQ47"/>
    <mergeCell ref="BS47:BS49"/>
    <mergeCell ref="BC49:BG49"/>
    <mergeCell ref="BT50:BT52"/>
    <mergeCell ref="J52:N52"/>
    <mergeCell ref="O52:S52"/>
    <mergeCell ref="T52:X52"/>
    <mergeCell ref="Y52:AC52"/>
    <mergeCell ref="AD52:AH52"/>
    <mergeCell ref="AI52:AM52"/>
    <mergeCell ref="AN52:AR52"/>
    <mergeCell ref="AS52:AW52"/>
    <mergeCell ref="AX52:BB52"/>
    <mergeCell ref="AS50:AW50"/>
    <mergeCell ref="AX50:BB50"/>
    <mergeCell ref="BC50:BG50"/>
    <mergeCell ref="BH50:BL50"/>
    <mergeCell ref="BM50:BQ50"/>
    <mergeCell ref="BS50:BS52"/>
    <mergeCell ref="BC52:BG52"/>
    <mergeCell ref="BH52:BL52"/>
    <mergeCell ref="BM52:BQ52"/>
    <mergeCell ref="O50:S50"/>
    <mergeCell ref="T50:X50"/>
    <mergeCell ref="Y50:AC50"/>
    <mergeCell ref="AD50:AH50"/>
    <mergeCell ref="AI50:AM50"/>
    <mergeCell ref="BH55:BL55"/>
    <mergeCell ref="BM55:BQ55"/>
    <mergeCell ref="O53:S53"/>
    <mergeCell ref="T53:X53"/>
    <mergeCell ref="Y53:AC53"/>
    <mergeCell ref="AD53:AH53"/>
    <mergeCell ref="AI53:AM53"/>
    <mergeCell ref="AN53:AR53"/>
    <mergeCell ref="B53:B55"/>
    <mergeCell ref="C53:C55"/>
    <mergeCell ref="F53:F55"/>
    <mergeCell ref="G53:G55"/>
    <mergeCell ref="H53:H55"/>
    <mergeCell ref="J53:N53"/>
    <mergeCell ref="AN56:AR56"/>
    <mergeCell ref="B56:B58"/>
    <mergeCell ref="C56:C58"/>
    <mergeCell ref="F56:F58"/>
    <mergeCell ref="G56:G58"/>
    <mergeCell ref="H56:H58"/>
    <mergeCell ref="J56:N56"/>
    <mergeCell ref="BT53:BT55"/>
    <mergeCell ref="J55:N55"/>
    <mergeCell ref="O55:S55"/>
    <mergeCell ref="T55:X55"/>
    <mergeCell ref="Y55:AC55"/>
    <mergeCell ref="AD55:AH55"/>
    <mergeCell ref="AI55:AM55"/>
    <mergeCell ref="AN55:AR55"/>
    <mergeCell ref="AS55:AW55"/>
    <mergeCell ref="AX55:BB55"/>
    <mergeCell ref="AS53:AW53"/>
    <mergeCell ref="AX53:BB53"/>
    <mergeCell ref="BC53:BG53"/>
    <mergeCell ref="BH53:BL53"/>
    <mergeCell ref="BM53:BQ53"/>
    <mergeCell ref="BS53:BS55"/>
    <mergeCell ref="BC55:BG55"/>
    <mergeCell ref="BT56:BT58"/>
    <mergeCell ref="J58:N58"/>
    <mergeCell ref="O58:S58"/>
    <mergeCell ref="T58:X58"/>
    <mergeCell ref="Y58:AC58"/>
    <mergeCell ref="AD58:AH58"/>
    <mergeCell ref="AI58:AM58"/>
    <mergeCell ref="AN58:AR58"/>
    <mergeCell ref="AS58:AW58"/>
    <mergeCell ref="AX58:BB58"/>
    <mergeCell ref="AS56:AW56"/>
    <mergeCell ref="AX56:BB56"/>
    <mergeCell ref="BC56:BG56"/>
    <mergeCell ref="BH56:BL56"/>
    <mergeCell ref="BM56:BQ56"/>
    <mergeCell ref="BS56:BS58"/>
    <mergeCell ref="BC58:BG58"/>
    <mergeCell ref="BH58:BL58"/>
    <mergeCell ref="BM58:BQ58"/>
    <mergeCell ref="O56:S56"/>
    <mergeCell ref="T56:X56"/>
    <mergeCell ref="Y56:AC56"/>
    <mergeCell ref="AD56:AH56"/>
    <mergeCell ref="AI56:AM56"/>
  </mergeCells>
  <phoneticPr fontId="1"/>
  <conditionalFormatting sqref="BM4">
    <cfRule type="expression" dxfId="6" priority="4">
      <formula>BM$62&lt;$BY$3</formula>
    </cfRule>
  </conditionalFormatting>
  <conditionalFormatting sqref="AS11 AS5 AS14 AS17 AS20 AS26 AS29 AS32 AS35 AS38 AS41 AS44 AS47 AS50 AS53 AS56 AS8 T11 T5 T14 T17 T20 T26 T29 T32 T35 T38 T41 T44 T47 T50 T53 T56 T8 Y11 Y5 Y14 Y17 Y20 Y26 Y29 Y32 Y35 Y38 Y41 Y44 Y47 Y50 Y53 Y56 Y8 AD11 AD5 AD14 AD17 AD20 AD26 AD29 AD32 AD35 AD38 AD41 AD44 AD47 AD50 AD53 AD56 AD8 AI11 AI5 AI14 AI17 AI20 AI26 AI29 AI32 AI35 AI38 AI41 AI44 AI47 AI50 AI53 AI56 AI8 AN11 AN5 AN14 AN17 AN20 AN26 AN29 AN32 AN35 AN38 AN41 AN44 AN47 AN50 AN53 AN56 AN8 AX11 AX5 AX14 AX17 AX20 AX26 AX29 AX32 AX35 AX38 AX41 AX44 AX47 AX50 AX53 AX56 AX8 T15:BB15 T12:BB12 T6:BB6 T18:BB18 T57:BB57 T54:BB54 T51:BB51 T48:BB48 T45:BB45 T42:BB42 T39:BB39 T36:BB36 T33:BB33 T30:BB30 T27:BB27 T21:BB21 T9:BB9">
    <cfRule type="expression" dxfId="5" priority="5">
      <formula>T$62&lt;$BY$3</formula>
    </cfRule>
  </conditionalFormatting>
  <conditionalFormatting sqref="J5:BQ6 J8:BQ9 J11:BQ12 J14:BQ15 J17:BQ18 J20:BQ21 J23:S24 J26:BQ27 J29:BQ30 J32:BQ33 J35:BQ36 J38:BQ39 J41:BQ42 J44:BQ45 J47:BQ48 J50:BQ51 J53:BQ54 J56:BQ57">
    <cfRule type="expression" dxfId="4" priority="3">
      <formula>$BY$3&gt;J$62</formula>
    </cfRule>
  </conditionalFormatting>
  <conditionalFormatting sqref="AS23 T23 Y23 AD23 AI23 AN23 AX23 T24:BB24">
    <cfRule type="expression" dxfId="3" priority="2">
      <formula>T$62&lt;$BY$3</formula>
    </cfRule>
  </conditionalFormatting>
  <conditionalFormatting sqref="T23:BQ24">
    <cfRule type="expression" dxfId="2" priority="1">
      <formula>$BY$3&gt;T$62</formula>
    </cfRule>
  </conditionalFormatting>
  <pageMargins left="0.47244094488188981" right="0.11811023622047245" top="0.6692913385826772" bottom="0.43307086614173229" header="0.35433070866141736" footer="0.23622047244094491"/>
  <pageSetup paperSize="8" scale="65" orientation="landscape"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44"/>
  <sheetViews>
    <sheetView showGridLines="0" zoomScaleNormal="100" workbookViewId="0">
      <selection activeCell="B39" sqref="B39:B40"/>
    </sheetView>
  </sheetViews>
  <sheetFormatPr defaultRowHeight="13.5"/>
  <cols>
    <col min="1" max="1" width="0.625" customWidth="1"/>
    <col min="2" max="3" width="9.875" customWidth="1"/>
    <col min="4" max="4" width="3.625" customWidth="1"/>
    <col min="5" max="5" width="5.375" customWidth="1"/>
    <col min="6" max="8" width="6.375" style="6" customWidth="1"/>
    <col min="9" max="9" width="5.25" bestFit="1" customWidth="1"/>
    <col min="10" max="23" width="5.875" customWidth="1"/>
    <col min="24" max="24" width="5.875" style="6" customWidth="1"/>
    <col min="25" max="25" width="0.75" customWidth="1"/>
    <col min="26" max="26" width="12.125" customWidth="1"/>
    <col min="28" max="28" width="11.625" bestFit="1" customWidth="1"/>
  </cols>
  <sheetData>
    <row r="1" spans="1:29" ht="21">
      <c r="A1" s="146" t="s">
        <v>110</v>
      </c>
      <c r="B1" s="146"/>
      <c r="C1" s="146"/>
      <c r="D1" s="146"/>
      <c r="E1" s="146"/>
      <c r="F1" s="146"/>
      <c r="G1" s="146"/>
      <c r="H1" s="146"/>
      <c r="I1" s="146"/>
      <c r="J1" s="146"/>
      <c r="K1" s="146"/>
      <c r="L1" s="146"/>
      <c r="M1" s="146"/>
      <c r="N1" s="146"/>
      <c r="O1" s="146"/>
      <c r="P1" s="146"/>
      <c r="Q1" s="146"/>
      <c r="R1" s="146"/>
      <c r="S1" s="146"/>
      <c r="T1" s="146"/>
      <c r="U1" s="146"/>
      <c r="V1" s="146"/>
      <c r="W1" s="146"/>
      <c r="X1" s="146"/>
      <c r="Y1" s="2"/>
      <c r="Z1" s="21">
        <v>43922</v>
      </c>
      <c r="AA1" t="s">
        <v>1</v>
      </c>
      <c r="AB1" s="25">
        <f ca="1">TODAY()</f>
        <v>44309</v>
      </c>
      <c r="AC1" s="10" t="s">
        <v>2</v>
      </c>
    </row>
    <row r="2" spans="1:29">
      <c r="A2" s="30"/>
      <c r="B2" s="31"/>
      <c r="C2" s="31"/>
      <c r="D2" s="32"/>
      <c r="E2" s="30"/>
      <c r="F2" s="33"/>
      <c r="G2" s="33"/>
      <c r="H2" s="33"/>
      <c r="I2" s="30"/>
      <c r="J2" s="30"/>
      <c r="K2" s="30"/>
      <c r="L2" s="30"/>
      <c r="M2" s="30"/>
      <c r="N2" s="30"/>
      <c r="O2" s="30"/>
      <c r="P2" s="30"/>
      <c r="Q2" s="30"/>
      <c r="R2" s="30"/>
      <c r="S2" s="30"/>
      <c r="T2" s="30"/>
      <c r="U2" s="30"/>
      <c r="V2" s="30"/>
      <c r="W2" s="30"/>
      <c r="X2" s="33"/>
      <c r="Y2" s="2"/>
      <c r="AB2" s="10">
        <f ca="1">YEAR(AB1)</f>
        <v>2021</v>
      </c>
      <c r="AC2" s="10" t="s">
        <v>3</v>
      </c>
    </row>
    <row r="3" spans="1:29">
      <c r="A3" s="30"/>
      <c r="B3" s="30"/>
      <c r="C3" s="30"/>
      <c r="D3" s="30"/>
      <c r="E3" s="30"/>
      <c r="F3" s="33"/>
      <c r="G3" s="33"/>
      <c r="H3" s="33"/>
      <c r="I3" s="30"/>
      <c r="J3" s="30"/>
      <c r="K3" s="30"/>
      <c r="L3" s="30"/>
      <c r="M3" s="30"/>
      <c r="N3" s="30"/>
      <c r="O3" s="30"/>
      <c r="P3" s="30"/>
      <c r="Q3" s="30"/>
      <c r="R3" s="30"/>
      <c r="S3" s="30"/>
      <c r="T3" s="135" t="s">
        <v>4</v>
      </c>
      <c r="U3" s="135"/>
      <c r="V3" s="58" t="str">
        <f ca="1">AB2&amp;"年"</f>
        <v>2021年</v>
      </c>
      <c r="W3" s="59" t="str">
        <f ca="1">AB3&amp;"月"</f>
        <v>4月</v>
      </c>
      <c r="X3" s="59" t="str">
        <f ca="1">AB4&amp;"日"</f>
        <v>23日</v>
      </c>
      <c r="Y3" s="2"/>
      <c r="AB3" s="26">
        <f ca="1">MONTH(AB1)</f>
        <v>4</v>
      </c>
      <c r="AC3" s="10" t="s">
        <v>5</v>
      </c>
    </row>
    <row r="4" spans="1:29" ht="29.25" customHeight="1">
      <c r="A4" s="2"/>
      <c r="B4" s="7" t="s">
        <v>6</v>
      </c>
      <c r="C4" s="11" t="s">
        <v>7</v>
      </c>
      <c r="D4" s="137" t="s">
        <v>8</v>
      </c>
      <c r="E4" s="138"/>
      <c r="F4" s="8" t="s">
        <v>9</v>
      </c>
      <c r="G4" s="8" t="s">
        <v>10</v>
      </c>
      <c r="H4" s="81" t="s">
        <v>11</v>
      </c>
      <c r="I4" s="7" t="s">
        <v>12</v>
      </c>
      <c r="J4" s="63">
        <v>4</v>
      </c>
      <c r="K4" s="76">
        <v>5</v>
      </c>
      <c r="L4" s="64">
        <v>6</v>
      </c>
      <c r="M4" s="64">
        <v>7</v>
      </c>
      <c r="N4" s="64">
        <v>8</v>
      </c>
      <c r="O4" s="64">
        <v>9</v>
      </c>
      <c r="P4" s="64">
        <v>10</v>
      </c>
      <c r="Q4" s="64">
        <v>11</v>
      </c>
      <c r="R4" s="64">
        <v>12</v>
      </c>
      <c r="S4" s="64">
        <v>1</v>
      </c>
      <c r="T4" s="77">
        <v>2</v>
      </c>
      <c r="U4" s="77">
        <v>3</v>
      </c>
      <c r="V4" s="7" t="s">
        <v>13</v>
      </c>
      <c r="W4" s="65" t="s">
        <v>14</v>
      </c>
      <c r="X4" s="9" t="s">
        <v>15</v>
      </c>
      <c r="Y4" s="2"/>
      <c r="Z4" s="23" t="s">
        <v>16</v>
      </c>
      <c r="AA4" s="23" t="s">
        <v>111</v>
      </c>
      <c r="AB4" s="26">
        <f ca="1">DAY(AB1)</f>
        <v>23</v>
      </c>
      <c r="AC4" s="10" t="s">
        <v>19</v>
      </c>
    </row>
    <row r="5" spans="1:29">
      <c r="A5" s="2"/>
      <c r="B5" s="104" t="str">
        <f>書き込み用!B5</f>
        <v>小林英彦</v>
      </c>
      <c r="C5" s="107" t="str">
        <f>書き込み用!C5</f>
        <v>部長</v>
      </c>
      <c r="D5" s="44">
        <f>IF(Z5&gt;0,DATEDIF(Z5,$Z$1,"Y"),"")</f>
        <v>31</v>
      </c>
      <c r="E5" s="18" t="s">
        <v>3</v>
      </c>
      <c r="F5" s="113">
        <f>書き込み用!F5</f>
        <v>20</v>
      </c>
      <c r="G5" s="113">
        <f>書き込み用!G5</f>
        <v>20</v>
      </c>
      <c r="H5" s="113">
        <f>SUM(F5:G6)</f>
        <v>40</v>
      </c>
      <c r="I5" s="19" t="s">
        <v>22</v>
      </c>
      <c r="J5" s="12" t="str">
        <f>IF(ISBLANK(書き込み用!J5),"",書き込み用!J5)</f>
        <v/>
      </c>
      <c r="K5" s="13" t="str">
        <f>IF(ISBLANK(書き込み用!O5),"",書き込み用!O5)</f>
        <v/>
      </c>
      <c r="L5" s="13" t="str">
        <f>IF(ISBLANK(書き込み用!T5),"",書き込み用!T5)</f>
        <v/>
      </c>
      <c r="M5" s="13" t="str">
        <f>IF(ISBLANK(書き込み用!Y5),"",書き込み用!Y5)</f>
        <v/>
      </c>
      <c r="N5" s="13" t="str">
        <f>IF(ISBLANK(書き込み用!AD5),"",書き込み用!AD5)</f>
        <v/>
      </c>
      <c r="O5" s="13" t="str">
        <f>IF(ISBLANK(書き込み用!AI5),"",書き込み用!AI5)</f>
        <v/>
      </c>
      <c r="P5" s="13" t="str">
        <f>IF(ISBLANK(書き込み用!AN5),"",書き込み用!AN5)</f>
        <v/>
      </c>
      <c r="Q5" s="13" t="str">
        <f>IF(ISBLANK(書き込み用!AS5),"",書き込み用!AS5)</f>
        <v/>
      </c>
      <c r="R5" s="13" t="str">
        <f>IF(ISBLANK(書き込み用!AX5),"",書き込み用!AX5)</f>
        <v/>
      </c>
      <c r="S5" s="13" t="str">
        <f>IF(ISBLANK(書き込み用!BC5),"",書き込み用!BC5)</f>
        <v/>
      </c>
      <c r="T5" s="13" t="str">
        <f>IF(ISBLANK(書き込み用!BH5),"",書き込み用!BH5)</f>
        <v/>
      </c>
      <c r="U5" s="39" t="str">
        <f>IF(ISBLANK(書き込み用!BM5),"",書き込み用!BM5)</f>
        <v/>
      </c>
      <c r="V5" s="46" t="str">
        <f>IF(SUM(J5:U5)&gt;0,SUM(J5:U5),"")</f>
        <v/>
      </c>
      <c r="W5" s="113">
        <f>H5-SUM(J6:U6)</f>
        <v>40</v>
      </c>
      <c r="X5" s="98"/>
      <c r="Y5" s="2"/>
      <c r="Z5" s="21">
        <f>書き込み用!BV5</f>
        <v>32599</v>
      </c>
      <c r="AA5" t="str">
        <f>IF(W5=書き込み用!BS5,"","×")</f>
        <v/>
      </c>
    </row>
    <row r="6" spans="1:29">
      <c r="A6" s="2"/>
      <c r="B6" s="106"/>
      <c r="C6" s="109"/>
      <c r="D6" s="45">
        <f>IF(Z5&gt;0,DATEDIF(Z5,$Z$1,"YM"),"")</f>
        <v>0</v>
      </c>
      <c r="E6" s="1" t="s">
        <v>23</v>
      </c>
      <c r="F6" s="115"/>
      <c r="G6" s="115"/>
      <c r="H6" s="115"/>
      <c r="I6" s="20" t="s">
        <v>24</v>
      </c>
      <c r="J6" s="15"/>
      <c r="K6" s="17"/>
      <c r="L6" s="16"/>
      <c r="M6" s="16"/>
      <c r="N6" s="16"/>
      <c r="O6" s="16"/>
      <c r="P6" s="16"/>
      <c r="Q6" s="16"/>
      <c r="R6" s="16"/>
      <c r="S6" s="16"/>
      <c r="T6" s="16"/>
      <c r="U6" s="40"/>
      <c r="V6" s="47" t="str">
        <f t="shared" ref="V6:V36" si="0">IF(SUM(J6:U6)&gt;0,SUM(J6:U6),"")</f>
        <v/>
      </c>
      <c r="W6" s="115"/>
      <c r="X6" s="100"/>
      <c r="Y6" s="2"/>
      <c r="Z6" s="57" t="str">
        <f>IF(ISBLANK(Z5),"",DATEDIF(Z5,$Z$1,"Y")&amp;"年"&amp;DATEDIF(Z5,$Z$1,"YM")&amp;"ヶ月")</f>
        <v>31年0ヶ月</v>
      </c>
    </row>
    <row r="7" spans="1:29">
      <c r="A7" s="2"/>
      <c r="B7" s="104" t="str">
        <f>書き込み用!B8</f>
        <v>木村博史</v>
      </c>
      <c r="C7" s="107" t="str">
        <f>書き込み用!C8</f>
        <v>部長</v>
      </c>
      <c r="D7" s="44">
        <f>IF(Z7&gt;0,DATEDIF(Z7,$Z$1,"Y"),"")</f>
        <v>34</v>
      </c>
      <c r="E7" s="18" t="s">
        <v>3</v>
      </c>
      <c r="F7" s="113">
        <f>書き込み用!F8</f>
        <v>14</v>
      </c>
      <c r="G7" s="113">
        <f>書き込み用!G8</f>
        <v>20</v>
      </c>
      <c r="H7" s="113">
        <f>SUM(F7:G8)</f>
        <v>34</v>
      </c>
      <c r="I7" s="19" t="s">
        <v>22</v>
      </c>
      <c r="J7" s="12" t="str">
        <f>IF(ISBLANK(書き込み用!J8),"",書き込み用!J8)</f>
        <v/>
      </c>
      <c r="K7" s="14" t="str">
        <f>IF(ISBLANK(書き込み用!O8),"",書き込み用!O8)</f>
        <v/>
      </c>
      <c r="L7" s="13" t="str">
        <f>IF(ISBLANK(書き込み用!T8),"",書き込み用!T8)</f>
        <v/>
      </c>
      <c r="M7" s="13" t="str">
        <f>IF(ISBLANK(書き込み用!Y8),"",書き込み用!Y8)</f>
        <v/>
      </c>
      <c r="N7" s="13" t="str">
        <f>IF(ISBLANK(書き込み用!AD8),"",書き込み用!AD8)</f>
        <v/>
      </c>
      <c r="O7" s="13" t="str">
        <f>IF(ISBLANK(書き込み用!AI8),"",書き込み用!AI8)</f>
        <v/>
      </c>
      <c r="P7" s="13" t="str">
        <f>IF(ISBLANK(書き込み用!AN8),"",書き込み用!AN8)</f>
        <v/>
      </c>
      <c r="Q7" s="13" t="str">
        <f>IF(ISBLANK(書き込み用!AS8),"",書き込み用!AS8)</f>
        <v/>
      </c>
      <c r="R7" s="13" t="str">
        <f>IF(ISBLANK(書き込み用!AX8),"",書き込み用!AX8)</f>
        <v/>
      </c>
      <c r="S7" s="13" t="str">
        <f>IF(ISBLANK(書き込み用!BC8),"",書き込み用!BC8)</f>
        <v/>
      </c>
      <c r="T7" s="13" t="str">
        <f>IF(ISBLANK(書き込み用!BH8),"",書き込み用!BH8)</f>
        <v/>
      </c>
      <c r="U7" s="39" t="str">
        <f>IF(ISBLANK(書き込み用!BM8),"",書き込み用!BM8)</f>
        <v/>
      </c>
      <c r="V7" s="46" t="str">
        <f t="shared" si="0"/>
        <v/>
      </c>
      <c r="W7" s="113">
        <f>H7-SUM(J8:U8)</f>
        <v>34</v>
      </c>
      <c r="X7" s="98"/>
      <c r="Y7" s="2"/>
      <c r="Z7" s="21">
        <f>書き込み用!BV8</f>
        <v>31503</v>
      </c>
      <c r="AA7" t="str">
        <f>IF(W7=書き込み用!BS8,"","×")</f>
        <v/>
      </c>
    </row>
    <row r="8" spans="1:29">
      <c r="A8" s="2"/>
      <c r="B8" s="106"/>
      <c r="C8" s="109"/>
      <c r="D8" s="45">
        <f>IF(Z7&gt;0,DATEDIF(Z7,$Z$1,"YM"),"")</f>
        <v>0</v>
      </c>
      <c r="E8" s="1" t="s">
        <v>23</v>
      </c>
      <c r="F8" s="115"/>
      <c r="G8" s="115"/>
      <c r="H8" s="115"/>
      <c r="I8" s="20" t="s">
        <v>24</v>
      </c>
      <c r="J8" s="15"/>
      <c r="K8" s="17"/>
      <c r="L8" s="16"/>
      <c r="M8" s="16"/>
      <c r="N8" s="16"/>
      <c r="O8" s="16"/>
      <c r="P8" s="16"/>
      <c r="Q8" s="16"/>
      <c r="R8" s="16"/>
      <c r="S8" s="16"/>
      <c r="T8" s="16"/>
      <c r="U8" s="41"/>
      <c r="V8" s="47" t="str">
        <f t="shared" si="0"/>
        <v/>
      </c>
      <c r="W8" s="115"/>
      <c r="X8" s="100"/>
      <c r="Y8" s="2"/>
      <c r="Z8" s="57" t="str">
        <f>IF(ISBLANK(Z7),"",DATEDIF(Z7,$Z$1,"Y")&amp;"年"&amp;DATEDIF(Z7,$Z$1,"YM")&amp;"ヶ月")</f>
        <v>34年0ヶ月</v>
      </c>
    </row>
    <row r="9" spans="1:29">
      <c r="A9" s="2"/>
      <c r="B9" s="104" t="str">
        <f>書き込み用!B11</f>
        <v>杉本知広</v>
      </c>
      <c r="C9" s="107" t="str">
        <f>書き込み用!C11</f>
        <v>課長</v>
      </c>
      <c r="D9" s="44">
        <f>IF(Z9&gt;0,DATEDIF(Z9,$Z$1,"Y"),"")</f>
        <v>38</v>
      </c>
      <c r="E9" s="18" t="s">
        <v>3</v>
      </c>
      <c r="F9" s="113">
        <f>書き込み用!F11</f>
        <v>20</v>
      </c>
      <c r="G9" s="113">
        <f>書き込み用!G11</f>
        <v>20</v>
      </c>
      <c r="H9" s="113">
        <f>SUM(F9:G10)</f>
        <v>40</v>
      </c>
      <c r="I9" s="19" t="s">
        <v>22</v>
      </c>
      <c r="J9" s="12" t="e">
        <f>IF(ISBLANK(書き込み用!#REF!),"",書き込み用!#REF!)</f>
        <v>#REF!</v>
      </c>
      <c r="K9" s="14">
        <f>IF(ISBLANK(書き込み用!O11),"",書き込み用!O11)</f>
        <v>2</v>
      </c>
      <c r="L9" s="13" t="str">
        <f>IF(ISBLANK(書き込み用!T11),"",書き込み用!T11)</f>
        <v/>
      </c>
      <c r="M9" s="13" t="str">
        <f>IF(ISBLANK(書き込み用!Y11),"",書き込み用!Y11)</f>
        <v/>
      </c>
      <c r="N9" s="13" t="str">
        <f>IF(ISBLANK(書き込み用!AD11),"",書き込み用!AD11)</f>
        <v/>
      </c>
      <c r="O9" s="13">
        <f>IF(ISBLANK(書き込み用!AI11),"",書き込み用!AI11)</f>
        <v>3</v>
      </c>
      <c r="P9" s="13" t="str">
        <f>IF(ISBLANK(書き込み用!AN11),"",書き込み用!AN11)</f>
        <v/>
      </c>
      <c r="Q9" s="13">
        <f>IF(ISBLANK(書き込み用!AS11),"",書き込み用!AS11)</f>
        <v>1</v>
      </c>
      <c r="R9" s="13" t="str">
        <f>IF(ISBLANK(書き込み用!AX11),"",書き込み用!AX11)</f>
        <v/>
      </c>
      <c r="S9" s="13" t="str">
        <f>IF(ISBLANK(書き込み用!BC11),"",書き込み用!BC11)</f>
        <v/>
      </c>
      <c r="T9" s="13" t="str">
        <f>IF(ISBLANK(書き込み用!BH11),"",書き込み用!BH11)</f>
        <v/>
      </c>
      <c r="U9" s="39" t="str">
        <f>IF(ISBLANK(書き込み用!BM11),"",書き込み用!BM11)</f>
        <v/>
      </c>
      <c r="V9" s="46" t="e">
        <f t="shared" si="0"/>
        <v>#REF!</v>
      </c>
      <c r="W9" s="113">
        <f>H9-SUM(J10:U10)</f>
        <v>40</v>
      </c>
      <c r="X9" s="98"/>
      <c r="Y9" s="2"/>
      <c r="Z9" s="21">
        <f>書き込み用!BV11</f>
        <v>30042</v>
      </c>
      <c r="AA9" t="str">
        <f>IF(W9=書き込み用!BS11,"","×")</f>
        <v/>
      </c>
    </row>
    <row r="10" spans="1:29">
      <c r="A10" s="2"/>
      <c r="B10" s="106"/>
      <c r="C10" s="109"/>
      <c r="D10" s="45">
        <f>IF(Z9&gt;0,DATEDIF(Z9,$Z$1,"YM"),"")</f>
        <v>0</v>
      </c>
      <c r="E10" s="1" t="s">
        <v>23</v>
      </c>
      <c r="F10" s="115"/>
      <c r="G10" s="115"/>
      <c r="H10" s="115"/>
      <c r="I10" s="20" t="s">
        <v>24</v>
      </c>
      <c r="J10" s="15"/>
      <c r="K10" s="17"/>
      <c r="L10" s="16"/>
      <c r="M10" s="16"/>
      <c r="N10" s="16"/>
      <c r="O10" s="16"/>
      <c r="P10" s="16"/>
      <c r="Q10" s="16"/>
      <c r="R10" s="16"/>
      <c r="S10" s="16"/>
      <c r="T10" s="16"/>
      <c r="U10" s="41"/>
      <c r="V10" s="47" t="str">
        <f t="shared" si="0"/>
        <v/>
      </c>
      <c r="W10" s="115"/>
      <c r="X10" s="100"/>
      <c r="Y10" s="2"/>
      <c r="Z10" s="57" t="str">
        <f>IF(ISBLANK(Z9),"",DATEDIF(Z9,$Z$1,"Y")&amp;"年"&amp;DATEDIF(Z9,$Z$1,"YM")&amp;"ヶ月")</f>
        <v>38年0ヶ月</v>
      </c>
    </row>
    <row r="11" spans="1:29">
      <c r="A11" s="2"/>
      <c r="B11" s="104" t="str">
        <f>書き込み用!B14</f>
        <v>清水谷卓</v>
      </c>
      <c r="C11" s="107" t="str">
        <f>書き込み用!C14</f>
        <v>部長</v>
      </c>
      <c r="D11" s="44">
        <f>IF(Z11&gt;0,DATEDIF(Z11,$Z$1,"Y"),"")</f>
        <v>0</v>
      </c>
      <c r="E11" s="18" t="s">
        <v>3</v>
      </c>
      <c r="F11" s="113">
        <f>書き込み用!F14</f>
        <v>6</v>
      </c>
      <c r="G11" s="113">
        <f>書き込み用!G14</f>
        <v>12</v>
      </c>
      <c r="H11" s="113">
        <f>SUM(F11:G12)</f>
        <v>18</v>
      </c>
      <c r="I11" s="19" t="s">
        <v>22</v>
      </c>
      <c r="J11" s="12" t="e">
        <f>IF(ISBLANK(書き込み用!#REF!),"",書き込み用!#REF!)</f>
        <v>#REF!</v>
      </c>
      <c r="K11" s="14">
        <f>IF(ISBLANK(書き込み用!O14),"",書き込み用!O14)</f>
        <v>2</v>
      </c>
      <c r="L11" s="34" t="str">
        <f>IF(ISBLANK(書き込み用!T14),"",書き込み用!T14)</f>
        <v/>
      </c>
      <c r="M11" s="34" t="str">
        <f>IF(ISBLANK(書き込み用!Y14),"",書き込み用!Y14)</f>
        <v/>
      </c>
      <c r="N11" s="34" t="str">
        <f>IF(ISBLANK(書き込み用!AD14),"",書き込み用!AD14)</f>
        <v/>
      </c>
      <c r="O11" s="34" t="str">
        <f>IF(ISBLANK(書き込み用!AI14),"",書き込み用!AI14)</f>
        <v/>
      </c>
      <c r="P11" s="34" t="str">
        <f>IF(ISBLANK(書き込み用!AN14),"",書き込み用!AN14)</f>
        <v/>
      </c>
      <c r="Q11" s="34" t="str">
        <f>IF(ISBLANK(書き込み用!AS14),"",書き込み用!AS14)</f>
        <v/>
      </c>
      <c r="R11" s="34" t="str">
        <f>IF(ISBLANK(書き込み用!AX14),"",書き込み用!AX14)</f>
        <v/>
      </c>
      <c r="S11" s="34" t="str">
        <f>IF(ISBLANK(書き込み用!BC14),"",書き込み用!BC14)</f>
        <v/>
      </c>
      <c r="T11" s="34" t="str">
        <f>IF(ISBLANK(書き込み用!BH14),"",書き込み用!BH14)</f>
        <v/>
      </c>
      <c r="U11" s="42" t="str">
        <f>IF(ISBLANK(書き込み用!BM14),"",書き込み用!BM14)</f>
        <v/>
      </c>
      <c r="V11" s="46" t="e">
        <f>IF(SUM(J11:U11)&gt;0,SUM(J11:U11),"")</f>
        <v>#REF!</v>
      </c>
      <c r="W11" s="113">
        <f>H11-SUM(J12:U12)</f>
        <v>18</v>
      </c>
      <c r="X11" s="98"/>
      <c r="Y11" s="2"/>
      <c r="Z11" s="21">
        <f>書き込み用!BV14</f>
        <v>43617</v>
      </c>
      <c r="AA11" t="str">
        <f>IF(W11=書き込み用!BS14,"","×")</f>
        <v/>
      </c>
    </row>
    <row r="12" spans="1:29">
      <c r="A12" s="2"/>
      <c r="B12" s="106"/>
      <c r="C12" s="109"/>
      <c r="D12" s="45">
        <f>IF(Z11&gt;0,DATEDIF(Z11,$Z$1,"YM"),"")</f>
        <v>10</v>
      </c>
      <c r="E12" s="1" t="s">
        <v>23</v>
      </c>
      <c r="F12" s="115"/>
      <c r="G12" s="115"/>
      <c r="H12" s="115"/>
      <c r="I12" s="20" t="s">
        <v>24</v>
      </c>
      <c r="J12" s="15"/>
      <c r="K12" s="17"/>
      <c r="L12" s="43"/>
      <c r="M12" s="43"/>
      <c r="N12" s="43"/>
      <c r="O12" s="43"/>
      <c r="P12" s="43"/>
      <c r="Q12" s="43"/>
      <c r="R12" s="43"/>
      <c r="S12" s="43"/>
      <c r="T12" s="43"/>
      <c r="U12" s="36"/>
      <c r="V12" s="47" t="str">
        <f t="shared" si="0"/>
        <v/>
      </c>
      <c r="W12" s="115"/>
      <c r="X12" s="100"/>
      <c r="Y12" s="2"/>
      <c r="Z12" s="57" t="str">
        <f>IF(ISBLANK(Z11),"",DATEDIF(Z11,$Z$1,"Y")&amp;"年"&amp;DATEDIF(Z11,$Z$1,"YM")&amp;"ヶ月")</f>
        <v>0年10ヶ月</v>
      </c>
    </row>
    <row r="13" spans="1:29">
      <c r="A13" s="2"/>
      <c r="B13" s="104" t="str">
        <f>書き込み用!B17</f>
        <v>田中　淳</v>
      </c>
      <c r="C13" s="107" t="str">
        <f>書き込み用!C17</f>
        <v>課長</v>
      </c>
      <c r="D13" s="44">
        <f>IF(Z13&gt;0,DATEDIF(Z13,$Z$1,"Y"),"")</f>
        <v>9</v>
      </c>
      <c r="E13" s="18" t="s">
        <v>3</v>
      </c>
      <c r="F13" s="113">
        <f>書き込み用!F17</f>
        <v>20</v>
      </c>
      <c r="G13" s="113">
        <f>書き込み用!G17</f>
        <v>20</v>
      </c>
      <c r="H13" s="113">
        <f>SUM(F13:G14)</f>
        <v>40</v>
      </c>
      <c r="I13" s="19" t="s">
        <v>22</v>
      </c>
      <c r="J13" s="12" t="str">
        <f>IF(ISBLANK(書き込み用!J17),"",書き込み用!J17)</f>
        <v/>
      </c>
      <c r="K13" s="14" t="str">
        <f>IF(ISBLANK(書き込み用!O17),"",書き込み用!O17)</f>
        <v/>
      </c>
      <c r="L13" s="34" t="str">
        <f>IF(ISBLANK(書き込み用!T17),"",書き込み用!T17)</f>
        <v/>
      </c>
      <c r="M13" s="34" t="str">
        <f>IF(ISBLANK(書き込み用!Y17),"",書き込み用!Y17)</f>
        <v/>
      </c>
      <c r="N13" s="34" t="str">
        <f>IF(ISBLANK(書き込み用!AD17),"",書き込み用!AD17)</f>
        <v/>
      </c>
      <c r="O13" s="34" t="str">
        <f>IF(ISBLANK(書き込み用!AI17),"",書き込み用!AI17)</f>
        <v/>
      </c>
      <c r="P13" s="34" t="str">
        <f>IF(ISBLANK(書き込み用!AN17),"",書き込み用!AN17)</f>
        <v/>
      </c>
      <c r="Q13" s="34" t="str">
        <f>IF(ISBLANK(書き込み用!AS17),"",書き込み用!AS17)</f>
        <v/>
      </c>
      <c r="R13" s="34" t="str">
        <f>IF(ISBLANK(書き込み用!AX17),"",書き込み用!AX17)</f>
        <v/>
      </c>
      <c r="S13" s="34" t="str">
        <f>IF(ISBLANK(書き込み用!BC17),"",書き込み用!BC17)</f>
        <v/>
      </c>
      <c r="T13" s="34" t="str">
        <f>IF(ISBLANK(書き込み用!BH17),"",書き込み用!BH17)</f>
        <v/>
      </c>
      <c r="U13" s="42" t="str">
        <f>IF(ISBLANK(書き込み用!BM17),"",書き込み用!BM17)</f>
        <v/>
      </c>
      <c r="V13" s="46" t="str">
        <f>IF(SUM(J13:U13)&gt;0,SUM(J13:U13),"")</f>
        <v/>
      </c>
      <c r="W13" s="113">
        <f>H13-SUM(J14:U14)</f>
        <v>40</v>
      </c>
      <c r="X13" s="98"/>
      <c r="Y13" s="2"/>
      <c r="Z13" s="21">
        <f>書き込み用!BV17</f>
        <v>40360</v>
      </c>
      <c r="AA13" t="str">
        <f>IF(W13=書き込み用!BS17,"","×")</f>
        <v/>
      </c>
    </row>
    <row r="14" spans="1:29">
      <c r="A14" s="2"/>
      <c r="B14" s="106"/>
      <c r="C14" s="109"/>
      <c r="D14" s="45">
        <f>IF(Z13&gt;0,DATEDIF(Z13,$Z$1,"YM"),"")</f>
        <v>9</v>
      </c>
      <c r="E14" s="1" t="s">
        <v>23</v>
      </c>
      <c r="F14" s="115"/>
      <c r="G14" s="115"/>
      <c r="H14" s="115"/>
      <c r="I14" s="20" t="s">
        <v>24</v>
      </c>
      <c r="J14" s="15"/>
      <c r="K14" s="17"/>
      <c r="L14" s="38"/>
      <c r="M14" s="38"/>
      <c r="N14" s="38"/>
      <c r="O14" s="38"/>
      <c r="P14" s="38"/>
      <c r="Q14" s="38"/>
      <c r="R14" s="38"/>
      <c r="S14" s="38"/>
      <c r="T14" s="38"/>
      <c r="U14" s="35"/>
      <c r="V14" s="47" t="str">
        <f t="shared" si="0"/>
        <v/>
      </c>
      <c r="W14" s="115"/>
      <c r="X14" s="100"/>
      <c r="Y14" s="2"/>
      <c r="Z14" s="57" t="str">
        <f>IF(ISBLANK(Z13),"",DATEDIF(Z13,$Z$1,"Y")&amp;"年"&amp;DATEDIF(Z13,$Z$1,"YM")&amp;"ヶ月")</f>
        <v>9年9ヶ月</v>
      </c>
    </row>
    <row r="15" spans="1:29">
      <c r="A15" s="2"/>
      <c r="B15" s="104" t="str">
        <f>書き込み用!B20</f>
        <v>飯田　毅</v>
      </c>
      <c r="C15" s="107" t="str">
        <f>書き込み用!C20</f>
        <v>課長補佐</v>
      </c>
      <c r="D15" s="44">
        <f>IF(Z15&gt;0,DATEDIF(Z15,$Z$1,"Y"),"")</f>
        <v>22</v>
      </c>
      <c r="E15" s="18" t="s">
        <v>3</v>
      </c>
      <c r="F15" s="113">
        <f>書き込み用!F20</f>
        <v>20</v>
      </c>
      <c r="G15" s="113">
        <f>書き込み用!G20</f>
        <v>20</v>
      </c>
      <c r="H15" s="113">
        <f>SUM(F15:G16)</f>
        <v>40</v>
      </c>
      <c r="I15" s="19" t="s">
        <v>22</v>
      </c>
      <c r="J15" s="12" t="e">
        <f>IF(ISBLANK(書き込み用!#REF!),"",書き込み用!#REF!)</f>
        <v>#REF!</v>
      </c>
      <c r="K15" s="14">
        <f>IF(ISBLANK(書き込み用!O20),"",書き込み用!O20)</f>
        <v>1.5</v>
      </c>
      <c r="L15" s="34" t="str">
        <f>IF(ISBLANK(書き込み用!T20),"",書き込み用!T20)</f>
        <v/>
      </c>
      <c r="M15" s="34" t="str">
        <f>IF(ISBLANK(書き込み用!Y20),"",書き込み用!Y20)</f>
        <v/>
      </c>
      <c r="N15" s="34" t="str">
        <f>IF(ISBLANK(書き込み用!AD20),"",書き込み用!AD20)</f>
        <v/>
      </c>
      <c r="O15" s="34">
        <f>IF(ISBLANK(書き込み用!AI20),"",書き込み用!AI20)</f>
        <v>1</v>
      </c>
      <c r="P15" s="34" t="str">
        <f>IF(ISBLANK(書き込み用!AN20),"",書き込み用!AN20)</f>
        <v/>
      </c>
      <c r="Q15" s="34">
        <f>IF(ISBLANK(書き込み用!AS20),"",書き込み用!AS20)</f>
        <v>1</v>
      </c>
      <c r="R15" s="34">
        <f>IF(ISBLANK(書き込み用!AX20),"",書き込み用!AX20)</f>
        <v>1</v>
      </c>
      <c r="S15" s="34" t="str">
        <f>IF(ISBLANK(書き込み用!BC20),"",書き込み用!BC20)</f>
        <v/>
      </c>
      <c r="T15" s="34" t="str">
        <f>IF(ISBLANK(書き込み用!BH20),"",書き込み用!BH20)</f>
        <v/>
      </c>
      <c r="U15" s="42" t="str">
        <f>IF(ISBLANK(書き込み用!BM20),"",書き込み用!BM20)</f>
        <v/>
      </c>
      <c r="V15" s="46" t="e">
        <f>IF(SUM(J15:U15)&gt;0,SUM(J15:U15),"")</f>
        <v>#REF!</v>
      </c>
      <c r="W15" s="113">
        <f>H15-SUM(J16:U16)</f>
        <v>40</v>
      </c>
      <c r="X15" s="98"/>
      <c r="Y15" s="2"/>
      <c r="Z15" s="21">
        <f>書き込み用!BV20</f>
        <v>35886</v>
      </c>
      <c r="AA15" t="str">
        <f>IF(W15=書き込み用!BS20,"","×")</f>
        <v/>
      </c>
    </row>
    <row r="16" spans="1:29">
      <c r="A16" s="2"/>
      <c r="B16" s="106"/>
      <c r="C16" s="109"/>
      <c r="D16" s="45">
        <f>IF(Z15&gt;0,DATEDIF(Z15,$Z$1,"YM"),"")</f>
        <v>0</v>
      </c>
      <c r="E16" s="1" t="s">
        <v>23</v>
      </c>
      <c r="F16" s="115"/>
      <c r="G16" s="115"/>
      <c r="H16" s="115"/>
      <c r="I16" s="20" t="s">
        <v>24</v>
      </c>
      <c r="J16" s="15"/>
      <c r="K16" s="17"/>
      <c r="L16" s="38"/>
      <c r="M16" s="38"/>
      <c r="N16" s="38"/>
      <c r="O16" s="38"/>
      <c r="P16" s="38"/>
      <c r="Q16" s="38"/>
      <c r="R16" s="38"/>
      <c r="S16" s="38"/>
      <c r="T16" s="38"/>
      <c r="U16" s="35"/>
      <c r="V16" s="47" t="str">
        <f t="shared" si="0"/>
        <v/>
      </c>
      <c r="W16" s="115"/>
      <c r="X16" s="100"/>
      <c r="Y16" s="2"/>
      <c r="Z16" s="57" t="str">
        <f>IF(ISBLANK(Z15),"",DATEDIF(Z15,$Z$1,"Y")&amp;"年"&amp;DATEDIF(Z15,$Z$1,"YM")&amp;"ヶ月")</f>
        <v>22年0ヶ月</v>
      </c>
    </row>
    <row r="17" spans="1:27">
      <c r="A17" s="2"/>
      <c r="B17" s="104" t="str">
        <f>書き込み用!B23</f>
        <v>上野直哉</v>
      </c>
      <c r="C17" s="107" t="str">
        <f>書き込み用!C23</f>
        <v>係長</v>
      </c>
      <c r="D17" s="44">
        <f>IF(Z17&gt;0,DATEDIF(Z17,$Z$1,"Y"),"")</f>
        <v>2</v>
      </c>
      <c r="E17" s="18" t="s">
        <v>3</v>
      </c>
      <c r="F17" s="113">
        <f>書き込み用!F23</f>
        <v>9.5</v>
      </c>
      <c r="G17" s="113">
        <f>書き込み用!G23</f>
        <v>16</v>
      </c>
      <c r="H17" s="113">
        <f>SUM(F17:G18)</f>
        <v>25.5</v>
      </c>
      <c r="I17" s="19" t="s">
        <v>22</v>
      </c>
      <c r="J17" s="12" t="e">
        <f>IF(ISBLANK(書き込み用!#REF!),"",書き込み用!#REF!)</f>
        <v>#REF!</v>
      </c>
      <c r="K17" s="14">
        <f>IF(ISBLANK(書き込み用!O23),"",書き込み用!O23)</f>
        <v>1</v>
      </c>
      <c r="L17" s="34" t="str">
        <f>IF(ISBLANK(書き込み用!T23),"",書き込み用!T23)</f>
        <v/>
      </c>
      <c r="M17" s="34" t="str">
        <f>IF(ISBLANK(書き込み用!Y23),"",書き込み用!Y23)</f>
        <v/>
      </c>
      <c r="N17" s="34" t="str">
        <f>IF(ISBLANK(書き込み用!AD23),"",書き込み用!AD23)</f>
        <v/>
      </c>
      <c r="O17" s="34">
        <f>IF(ISBLANK(書き込み用!AI23),"",書き込み用!AI23)</f>
        <v>1</v>
      </c>
      <c r="P17" s="34" t="str">
        <f>IF(ISBLANK(書き込み用!AN23),"",書き込み用!AN23)</f>
        <v/>
      </c>
      <c r="Q17" s="34">
        <f>IF(ISBLANK(書き込み用!AS23),"",書き込み用!AS23)</f>
        <v>1</v>
      </c>
      <c r="R17" s="34">
        <f>IF(ISBLANK(書き込み用!AX23),"",書き込み用!AX23)</f>
        <v>2</v>
      </c>
      <c r="S17" s="34">
        <f>IF(ISBLANK(書き込み用!BC23),"",書き込み用!BC23)</f>
        <v>1</v>
      </c>
      <c r="T17" s="34" t="str">
        <f>IF(ISBLANK(書き込み用!BH23),"",書き込み用!BH23)</f>
        <v/>
      </c>
      <c r="U17" s="42" t="str">
        <f>IF(ISBLANK(書き込み用!BM23),"",書き込み用!BM23)</f>
        <v/>
      </c>
      <c r="V17" s="46" t="e">
        <f>IF(SUM(J17:U17)&gt;0,SUM(J17:U17),"")</f>
        <v>#REF!</v>
      </c>
      <c r="W17" s="113">
        <f>H17-SUM(J18:U18)</f>
        <v>25.5</v>
      </c>
      <c r="X17" s="98"/>
      <c r="Y17" s="2"/>
      <c r="Z17" s="21">
        <f>書き込み用!BV23</f>
        <v>42917</v>
      </c>
      <c r="AA17" t="str">
        <f>IF(W17=書き込み用!BS23,"","×")</f>
        <v/>
      </c>
    </row>
    <row r="18" spans="1:27">
      <c r="A18" s="2"/>
      <c r="B18" s="106"/>
      <c r="C18" s="109"/>
      <c r="D18" s="45">
        <f>IF(Z17&gt;0,DATEDIF(Z17,$Z$1,"YM"),"")</f>
        <v>9</v>
      </c>
      <c r="E18" s="1" t="s">
        <v>23</v>
      </c>
      <c r="F18" s="115"/>
      <c r="G18" s="115"/>
      <c r="H18" s="115"/>
      <c r="I18" s="20" t="s">
        <v>24</v>
      </c>
      <c r="J18" s="15"/>
      <c r="K18" s="17"/>
      <c r="L18" s="38"/>
      <c r="M18" s="38"/>
      <c r="N18" s="38"/>
      <c r="O18" s="38"/>
      <c r="P18" s="38"/>
      <c r="Q18" s="38"/>
      <c r="R18" s="38"/>
      <c r="S18" s="38"/>
      <c r="T18" s="38"/>
      <c r="U18" s="35"/>
      <c r="V18" s="47" t="str">
        <f t="shared" si="0"/>
        <v/>
      </c>
      <c r="W18" s="115"/>
      <c r="X18" s="100"/>
      <c r="Y18" s="2"/>
      <c r="Z18" s="57" t="str">
        <f>IF(ISBLANK(Z17),"",DATEDIF(Z17,$Z$1,"Y")&amp;"年"&amp;DATEDIF(Z17,$Z$1,"YM")&amp;"ヶ月")</f>
        <v>2年9ヶ月</v>
      </c>
    </row>
    <row r="19" spans="1:27">
      <c r="A19" s="2"/>
      <c r="B19" s="104" t="str">
        <f>書き込み用!B26</f>
        <v>秋山菜々子</v>
      </c>
      <c r="C19" s="107" t="str">
        <f>書き込み用!C26</f>
        <v>社員</v>
      </c>
      <c r="D19" s="44">
        <f>IF(Z19&gt;0,DATEDIF(Z19,$Z$1,"Y"),"")</f>
        <v>2</v>
      </c>
      <c r="E19" s="18" t="s">
        <v>3</v>
      </c>
      <c r="F19" s="113">
        <f>書き込み用!F26</f>
        <v>6.5</v>
      </c>
      <c r="G19" s="113">
        <f>書き込み用!G26</f>
        <v>14</v>
      </c>
      <c r="H19" s="113">
        <f>SUM(F19:G20)</f>
        <v>20.5</v>
      </c>
      <c r="I19" s="19" t="s">
        <v>22</v>
      </c>
      <c r="J19" s="12" t="e">
        <f>IF(ISBLANK(書き込み用!#REF!),"",書き込み用!#REF!)</f>
        <v>#REF!</v>
      </c>
      <c r="K19" s="14" t="str">
        <f>IF(ISBLANK(書き込み用!O26),"",書き込み用!O26)</f>
        <v/>
      </c>
      <c r="L19" s="34" t="str">
        <f>IF(ISBLANK(書き込み用!T26),"",書き込み用!T26)</f>
        <v/>
      </c>
      <c r="M19" s="34" t="str">
        <f>IF(ISBLANK(書き込み用!Y26),"",書き込み用!Y26)</f>
        <v/>
      </c>
      <c r="N19" s="34" t="str">
        <f>IF(ISBLANK(書き込み用!AD26),"",書き込み用!AD26)</f>
        <v/>
      </c>
      <c r="O19" s="34" t="str">
        <f>IF(ISBLANK(書き込み用!AI26),"",書き込み用!AI26)</f>
        <v/>
      </c>
      <c r="P19" s="34" t="str">
        <f>IF(ISBLANK(書き込み用!AN26),"",書き込み用!AN26)</f>
        <v/>
      </c>
      <c r="Q19" s="34" t="str">
        <f>IF(ISBLANK(書き込み用!AS26),"",書き込み用!AS26)</f>
        <v/>
      </c>
      <c r="R19" s="34" t="str">
        <f>IF(ISBLANK(書き込み用!AX26),"",書き込み用!AX26)</f>
        <v/>
      </c>
      <c r="S19" s="34" t="str">
        <f>IF(ISBLANK(書き込み用!BC26),"",書き込み用!BC26)</f>
        <v/>
      </c>
      <c r="T19" s="34" t="str">
        <f>IF(ISBLANK(書き込み用!BH26),"",書き込み用!BH26)</f>
        <v/>
      </c>
      <c r="U19" s="42" t="str">
        <f>IF(ISBLANK(書き込み用!BM26),"",書き込み用!BM26)</f>
        <v/>
      </c>
      <c r="V19" s="46" t="e">
        <f>IF(SUM(J19:U19)&gt;0,SUM(J19:U19),"")</f>
        <v>#REF!</v>
      </c>
      <c r="W19" s="113">
        <f>H19-SUM(J20:U20)</f>
        <v>20.5</v>
      </c>
      <c r="X19" s="98"/>
      <c r="Y19" s="2"/>
      <c r="Z19" s="21">
        <f>書き込み用!BV26</f>
        <v>43191</v>
      </c>
      <c r="AA19" t="str">
        <f>IF(W19=書き込み用!BS26,"","×")</f>
        <v/>
      </c>
    </row>
    <row r="20" spans="1:27">
      <c r="A20" s="2"/>
      <c r="B20" s="106"/>
      <c r="C20" s="109"/>
      <c r="D20" s="45">
        <f>IF(Z19&gt;0,DATEDIF(Z19,$Z$1,"YM"),"")</f>
        <v>0</v>
      </c>
      <c r="E20" s="1" t="s">
        <v>23</v>
      </c>
      <c r="F20" s="115"/>
      <c r="G20" s="115"/>
      <c r="H20" s="115"/>
      <c r="I20" s="20" t="s">
        <v>24</v>
      </c>
      <c r="J20" s="15"/>
      <c r="K20" s="17"/>
      <c r="L20" s="38"/>
      <c r="M20" s="38"/>
      <c r="N20" s="38"/>
      <c r="O20" s="38"/>
      <c r="P20" s="38"/>
      <c r="Q20" s="38"/>
      <c r="R20" s="38"/>
      <c r="S20" s="38"/>
      <c r="T20" s="38"/>
      <c r="U20" s="35"/>
      <c r="V20" s="47" t="str">
        <f t="shared" si="0"/>
        <v/>
      </c>
      <c r="W20" s="115"/>
      <c r="X20" s="100"/>
      <c r="Y20" s="2"/>
      <c r="Z20" s="57" t="str">
        <f>IF(ISBLANK(Z19),"",DATEDIF(Z19,$Z$1,"Y")&amp;"年"&amp;DATEDIF(Z19,$Z$1,"YM")&amp;"ヶ月")</f>
        <v>2年0ヶ月</v>
      </c>
    </row>
    <row r="21" spans="1:27">
      <c r="A21" s="2"/>
      <c r="B21" s="104" t="str">
        <f>書き込み用!B29</f>
        <v>吉井彩香</v>
      </c>
      <c r="C21" s="107" t="str">
        <f>書き込み用!C29</f>
        <v>社員</v>
      </c>
      <c r="D21" s="44">
        <f>IF(Z21&gt;0,DATEDIF(Z21,$Z$1,"Y"),"")</f>
        <v>0</v>
      </c>
      <c r="E21" s="18" t="s">
        <v>3</v>
      </c>
      <c r="F21" s="113">
        <f>書き込み用!F29</f>
        <v>0</v>
      </c>
      <c r="G21" s="113">
        <f>書き込み用!G29</f>
        <v>12</v>
      </c>
      <c r="H21" s="113">
        <f>SUM(F21:G22)</f>
        <v>12</v>
      </c>
      <c r="I21" s="19" t="s">
        <v>22</v>
      </c>
      <c r="J21" s="12" t="str">
        <f>IF(ISBLANK(書き込み用!J29),"",書き込み用!J29)</f>
        <v/>
      </c>
      <c r="K21" s="14" t="str">
        <f>IF(ISBLANK(書き込み用!O29),"",書き込み用!O29)</f>
        <v/>
      </c>
      <c r="L21" s="34" t="str">
        <f>IF(ISBLANK(書き込み用!T29),"",書き込み用!T29)</f>
        <v/>
      </c>
      <c r="M21" s="34" t="str">
        <f>IF(ISBLANK(書き込み用!Y29),"",書き込み用!Y29)</f>
        <v/>
      </c>
      <c r="N21" s="34" t="str">
        <f>IF(ISBLANK(書き込み用!AD29),"",書き込み用!AD29)</f>
        <v/>
      </c>
      <c r="O21" s="34" t="str">
        <f>IF(ISBLANK(書き込み用!AI29),"",書き込み用!AI29)</f>
        <v/>
      </c>
      <c r="P21" s="34" t="str">
        <f>IF(ISBLANK(書き込み用!AN29),"",書き込み用!AN29)</f>
        <v/>
      </c>
      <c r="Q21" s="34" t="str">
        <f>IF(ISBLANK(書き込み用!AS29),"",書き込み用!AS29)</f>
        <v/>
      </c>
      <c r="R21" s="34" t="str">
        <f>IF(ISBLANK(書き込み用!AX29),"",書き込み用!AX29)</f>
        <v/>
      </c>
      <c r="S21" s="34" t="str">
        <f>IF(ISBLANK(書き込み用!BC29),"",書き込み用!BC29)</f>
        <v/>
      </c>
      <c r="T21" s="34" t="str">
        <f>IF(ISBLANK(書き込み用!BH29),"",書き込み用!BH29)</f>
        <v/>
      </c>
      <c r="U21" s="42" t="str">
        <f>IF(ISBLANK(書き込み用!BM29),"",書き込み用!BM29)</f>
        <v/>
      </c>
      <c r="V21" s="46" t="str">
        <f>IF(SUM(J21:U21)&gt;0,SUM(J21:U21),"")</f>
        <v/>
      </c>
      <c r="W21" s="113">
        <f>H21-SUM(J22:U22)</f>
        <v>12</v>
      </c>
      <c r="X21" s="98"/>
      <c r="Y21" s="2"/>
      <c r="Z21" s="21">
        <f>書き込み用!BV29</f>
        <v>43770</v>
      </c>
      <c r="AA21" t="str">
        <f>IF(W21=書き込み用!BS29,"","×")</f>
        <v/>
      </c>
    </row>
    <row r="22" spans="1:27">
      <c r="A22" s="2"/>
      <c r="B22" s="106"/>
      <c r="C22" s="109"/>
      <c r="D22" s="45">
        <f>IF(Z21&gt;0,DATEDIF(Z21,$Z$1,"YM"),"")</f>
        <v>5</v>
      </c>
      <c r="E22" s="1" t="s">
        <v>23</v>
      </c>
      <c r="F22" s="115"/>
      <c r="G22" s="115"/>
      <c r="H22" s="115"/>
      <c r="I22" s="20" t="s">
        <v>24</v>
      </c>
      <c r="J22" s="15"/>
      <c r="K22" s="17"/>
      <c r="L22" s="38"/>
      <c r="M22" s="38"/>
      <c r="N22" s="38"/>
      <c r="O22" s="38"/>
      <c r="P22" s="38"/>
      <c r="Q22" s="38"/>
      <c r="R22" s="38"/>
      <c r="S22" s="38"/>
      <c r="T22" s="38"/>
      <c r="U22" s="35"/>
      <c r="V22" s="47" t="str">
        <f t="shared" si="0"/>
        <v/>
      </c>
      <c r="W22" s="115"/>
      <c r="X22" s="100"/>
      <c r="Y22" s="2"/>
      <c r="Z22" s="57" t="str">
        <f>IF(ISBLANK(Z21),"",DATEDIF(Z21,$Z$1,"Y")&amp;"年"&amp;DATEDIF(Z21,$Z$1,"YM")&amp;"ヶ月")</f>
        <v>0年5ヶ月</v>
      </c>
    </row>
    <row r="23" spans="1:27">
      <c r="A23" s="2"/>
      <c r="B23" s="104" t="str">
        <f>書き込み用!B32</f>
        <v>氏家　亨</v>
      </c>
      <c r="C23" s="107" t="str">
        <f>書き込み用!C32</f>
        <v>課長</v>
      </c>
      <c r="D23" s="44">
        <f>IF(Z23&gt;0,DATEDIF(Z23,$Z$1,"Y"),"")</f>
        <v>20</v>
      </c>
      <c r="E23" s="18" t="s">
        <v>3</v>
      </c>
      <c r="F23" s="113">
        <f>書き込み用!F32</f>
        <v>20</v>
      </c>
      <c r="G23" s="113">
        <f>書き込み用!G32</f>
        <v>20</v>
      </c>
      <c r="H23" s="113">
        <f>SUM(F23:G24)</f>
        <v>40</v>
      </c>
      <c r="I23" s="19" t="s">
        <v>22</v>
      </c>
      <c r="J23" s="12" t="e">
        <f>IF(ISBLANK(書き込み用!#REF!),"",書き込み用!#REF!)</f>
        <v>#REF!</v>
      </c>
      <c r="K23" s="14">
        <f>IF(ISBLANK(書き込み用!O32),"",書き込み用!O32)</f>
        <v>2</v>
      </c>
      <c r="L23" s="34" t="str">
        <f>IF(ISBLANK(書き込み用!T32),"",書き込み用!T32)</f>
        <v/>
      </c>
      <c r="M23" s="34">
        <f>IF(ISBLANK(書き込み用!Y32),"",書き込み用!Y32)</f>
        <v>1</v>
      </c>
      <c r="N23" s="34" t="str">
        <f>IF(ISBLANK(書き込み用!AD32),"",書き込み用!AD32)</f>
        <v/>
      </c>
      <c r="O23" s="34" t="str">
        <f>IF(ISBLANK(書き込み用!AI32),"",書き込み用!AI32)</f>
        <v/>
      </c>
      <c r="P23" s="34" t="str">
        <f>IF(ISBLANK(書き込み用!AN32),"",書き込み用!AN32)</f>
        <v/>
      </c>
      <c r="Q23" s="34">
        <f>IF(ISBLANK(書き込み用!AS32),"",書き込み用!AS32)</f>
        <v>1</v>
      </c>
      <c r="R23" s="34" t="str">
        <f>IF(ISBLANK(書き込み用!AX32),"",書き込み用!AX32)</f>
        <v/>
      </c>
      <c r="S23" s="34" t="str">
        <f>IF(ISBLANK(書き込み用!BC32),"",書き込み用!BC32)</f>
        <v/>
      </c>
      <c r="T23" s="34" t="str">
        <f>IF(ISBLANK(書き込み用!BH32),"",書き込み用!BH32)</f>
        <v/>
      </c>
      <c r="U23" s="42" t="str">
        <f>IF(ISBLANK(書き込み用!BM32),"",書き込み用!BM32)</f>
        <v/>
      </c>
      <c r="V23" s="46" t="e">
        <f>IF(SUM(J23:U23)&gt;0,SUM(J23:U23),"")</f>
        <v>#REF!</v>
      </c>
      <c r="W23" s="113">
        <f>H23-SUM(J24:U24)</f>
        <v>40</v>
      </c>
      <c r="X23" s="98"/>
      <c r="Y23" s="2"/>
      <c r="Z23" s="21">
        <f>書き込み用!BV32</f>
        <v>36617</v>
      </c>
      <c r="AA23" t="str">
        <f>IF(W23=書き込み用!BS32,"","×")</f>
        <v/>
      </c>
    </row>
    <row r="24" spans="1:27">
      <c r="A24" s="2"/>
      <c r="B24" s="106"/>
      <c r="C24" s="109"/>
      <c r="D24" s="45">
        <f>IF(Z23&gt;0,DATEDIF(Z23,$Z$1,"YM"),"")</f>
        <v>0</v>
      </c>
      <c r="E24" s="1" t="s">
        <v>23</v>
      </c>
      <c r="F24" s="115"/>
      <c r="G24" s="115"/>
      <c r="H24" s="115"/>
      <c r="I24" s="20" t="s">
        <v>24</v>
      </c>
      <c r="J24" s="15"/>
      <c r="K24" s="17"/>
      <c r="L24" s="38"/>
      <c r="M24" s="38"/>
      <c r="N24" s="38"/>
      <c r="O24" s="38"/>
      <c r="P24" s="38"/>
      <c r="Q24" s="38"/>
      <c r="R24" s="38"/>
      <c r="S24" s="38"/>
      <c r="T24" s="38"/>
      <c r="U24" s="35"/>
      <c r="V24" s="47" t="str">
        <f t="shared" si="0"/>
        <v/>
      </c>
      <c r="W24" s="115"/>
      <c r="X24" s="100"/>
      <c r="Y24" s="2"/>
      <c r="Z24" s="57" t="str">
        <f>IF(ISBLANK(Z23),"",DATEDIF(Z23,$Z$1,"Y")&amp;"年"&amp;DATEDIF(Z23,$Z$1,"YM")&amp;"ヶ月")</f>
        <v>20年0ヶ月</v>
      </c>
    </row>
    <row r="25" spans="1:27">
      <c r="A25" s="2"/>
      <c r="B25" s="104" t="str">
        <f>書き込み用!B35</f>
        <v>尾﨑智香</v>
      </c>
      <c r="C25" s="107" t="str">
        <f>書き込み用!C35</f>
        <v>社員</v>
      </c>
      <c r="D25" s="44">
        <f>IF(Z25&gt;0,DATEDIF(Z25,$Z$1,"Y"),"")</f>
        <v>1</v>
      </c>
      <c r="E25" s="18" t="s">
        <v>3</v>
      </c>
      <c r="F25" s="113">
        <f>書き込み用!F35</f>
        <v>3</v>
      </c>
      <c r="G25" s="113">
        <f>書き込み用!G35</f>
        <v>12</v>
      </c>
      <c r="H25" s="113">
        <f>SUM(F25:G26)</f>
        <v>15</v>
      </c>
      <c r="I25" s="19" t="s">
        <v>22</v>
      </c>
      <c r="J25" s="12" t="e">
        <f>IF(ISBLANK(書き込み用!#REF!),"",書き込み用!#REF!)</f>
        <v>#REF!</v>
      </c>
      <c r="K25" s="14" t="str">
        <f>IF(ISBLANK(書き込み用!O35),"",書き込み用!O35)</f>
        <v/>
      </c>
      <c r="L25" s="34" t="str">
        <f>IF(ISBLANK(書き込み用!T35),"",書き込み用!T35)</f>
        <v/>
      </c>
      <c r="M25" s="34" t="str">
        <f>IF(ISBLANK(書き込み用!Y35),"",書き込み用!Y35)</f>
        <v/>
      </c>
      <c r="N25" s="34">
        <f>IF(ISBLANK(書き込み用!AD35),"",書き込み用!AD35)</f>
        <v>3</v>
      </c>
      <c r="O25" s="34" t="str">
        <f>IF(ISBLANK(書き込み用!AI35),"",書き込み用!AI35)</f>
        <v/>
      </c>
      <c r="P25" s="34" t="str">
        <f>IF(ISBLANK(書き込み用!AN35),"",書き込み用!AN35)</f>
        <v/>
      </c>
      <c r="Q25" s="34" t="str">
        <f>IF(ISBLANK(書き込み用!AS35),"",書き込み用!AS35)</f>
        <v/>
      </c>
      <c r="R25" s="34" t="str">
        <f>IF(ISBLANK(書き込み用!AX35),"",書き込み用!AX35)</f>
        <v/>
      </c>
      <c r="S25" s="34" t="str">
        <f>IF(ISBLANK(書き込み用!BC35),"",書き込み用!BC35)</f>
        <v/>
      </c>
      <c r="T25" s="34" t="str">
        <f>IF(ISBLANK(書き込み用!BH35),"",書き込み用!BH35)</f>
        <v/>
      </c>
      <c r="U25" s="42">
        <f>IF(ISBLANK(書き込み用!BM35),"",書き込み用!BM35)</f>
        <v>1</v>
      </c>
      <c r="V25" s="46" t="e">
        <f>IF(SUM(J25:U25)&gt;0,SUM(J25:U25),"")</f>
        <v>#REF!</v>
      </c>
      <c r="W25" s="113">
        <f>H25-SUM(J26:U26)</f>
        <v>15</v>
      </c>
      <c r="X25" s="98"/>
      <c r="Y25" s="2"/>
      <c r="Z25" s="21">
        <f>書き込み用!BV35</f>
        <v>43556</v>
      </c>
      <c r="AA25" t="str">
        <f>IF(W25=書き込み用!BS35,"","×")</f>
        <v/>
      </c>
    </row>
    <row r="26" spans="1:27">
      <c r="A26" s="2"/>
      <c r="B26" s="106"/>
      <c r="C26" s="109"/>
      <c r="D26" s="45">
        <f>IF(Z25&gt;0,DATEDIF(Z25,$Z$1,"YM"),"")</f>
        <v>0</v>
      </c>
      <c r="E26" s="1" t="s">
        <v>23</v>
      </c>
      <c r="F26" s="115"/>
      <c r="G26" s="115"/>
      <c r="H26" s="115"/>
      <c r="I26" s="20" t="s">
        <v>24</v>
      </c>
      <c r="J26" s="15"/>
      <c r="K26" s="17"/>
      <c r="L26" s="37"/>
      <c r="M26" s="37"/>
      <c r="N26" s="37"/>
      <c r="O26" s="37"/>
      <c r="P26" s="37"/>
      <c r="Q26" s="37"/>
      <c r="R26" s="37"/>
      <c r="S26" s="37"/>
      <c r="T26" s="37"/>
      <c r="V26" s="47" t="str">
        <f t="shared" ref="V26:V30" si="1">IF(SUM(J26:U26)&gt;0,SUM(J26:U26),"")</f>
        <v/>
      </c>
      <c r="W26" s="115"/>
      <c r="X26" s="100"/>
      <c r="Y26" s="2"/>
      <c r="Z26" s="57" t="str">
        <f>IF(ISBLANK(Z25),"",DATEDIF(Z25,$Z$1,"Y")&amp;"年"&amp;DATEDIF(Z25,$Z$1,"YM")&amp;"ヶ月")</f>
        <v>1年0ヶ月</v>
      </c>
    </row>
    <row r="27" spans="1:27">
      <c r="A27" s="2"/>
      <c r="B27" s="104" t="str">
        <f>書き込み用!B38</f>
        <v>眞弓孝之</v>
      </c>
      <c r="C27" s="107" t="str">
        <f>書き込み用!C38</f>
        <v>部長</v>
      </c>
      <c r="D27" s="44">
        <f>IF(Z27&gt;0,DATEDIF(Z27,$Z$1,"Y"),"")</f>
        <v>31</v>
      </c>
      <c r="E27" s="18" t="s">
        <v>3</v>
      </c>
      <c r="F27" s="113">
        <f>書き込み用!F38</f>
        <v>20</v>
      </c>
      <c r="G27" s="113">
        <f>書き込み用!G38</f>
        <v>20</v>
      </c>
      <c r="H27" s="113">
        <f>SUM(F27:G28)</f>
        <v>40</v>
      </c>
      <c r="I27" s="19" t="s">
        <v>22</v>
      </c>
      <c r="J27" s="12" t="str">
        <f>IF(ISBLANK(書き込み用!J38),"",書き込み用!J38)</f>
        <v/>
      </c>
      <c r="K27" s="14" t="str">
        <f>IF(ISBLANK(書き込み用!O38),"",書き込み用!O38)</f>
        <v/>
      </c>
      <c r="L27" s="34" t="str">
        <f>IF(ISBLANK(書き込み用!T38),"",書き込み用!T38)</f>
        <v/>
      </c>
      <c r="M27" s="34" t="str">
        <f>IF(ISBLANK(書き込み用!Y38),"",書き込み用!Y38)</f>
        <v/>
      </c>
      <c r="N27" s="34" t="str">
        <f>IF(ISBLANK(書き込み用!AD38),"",書き込み用!AD38)</f>
        <v/>
      </c>
      <c r="O27" s="34" t="str">
        <f>IF(ISBLANK(書き込み用!AI38),"",書き込み用!AI38)</f>
        <v/>
      </c>
      <c r="P27" s="34" t="str">
        <f>IF(ISBLANK(書き込み用!AN38),"",書き込み用!AN38)</f>
        <v/>
      </c>
      <c r="Q27" s="34" t="str">
        <f>IF(ISBLANK(書き込み用!AS38),"",書き込み用!AS38)</f>
        <v/>
      </c>
      <c r="R27" s="34" t="str">
        <f>IF(ISBLANK(書き込み用!AX38),"",書き込み用!AX38)</f>
        <v/>
      </c>
      <c r="S27" s="34" t="str">
        <f>IF(ISBLANK(書き込み用!BC38),"",書き込み用!BC38)</f>
        <v/>
      </c>
      <c r="T27" s="34" t="str">
        <f>IF(ISBLANK(書き込み用!BH38),"",書き込み用!BH38)</f>
        <v/>
      </c>
      <c r="U27" s="42" t="str">
        <f>IF(ISBLANK(書き込み用!BM38),"",書き込み用!BM38)</f>
        <v/>
      </c>
      <c r="V27" s="46" t="str">
        <f>IF(SUM(J27:U27)&gt;0,SUM(J27:U27),"")</f>
        <v/>
      </c>
      <c r="W27" s="113">
        <f>H27-SUM(J28:U28)</f>
        <v>40</v>
      </c>
      <c r="X27" s="98"/>
      <c r="Y27" s="2"/>
      <c r="Z27" s="21">
        <f>書き込み用!BV38</f>
        <v>32599</v>
      </c>
      <c r="AA27" t="str">
        <f>IF(W27=書き込み用!BS38,"","×")</f>
        <v/>
      </c>
    </row>
    <row r="28" spans="1:27">
      <c r="A28" s="2"/>
      <c r="B28" s="106"/>
      <c r="C28" s="109"/>
      <c r="D28" s="45">
        <f>IF(Z27&gt;0,DATEDIF(Z27,$Z$1,"YM"),"")</f>
        <v>0</v>
      </c>
      <c r="E28" s="1" t="s">
        <v>23</v>
      </c>
      <c r="F28" s="115"/>
      <c r="G28" s="115"/>
      <c r="H28" s="115"/>
      <c r="I28" s="20" t="s">
        <v>24</v>
      </c>
      <c r="J28" s="15"/>
      <c r="K28" s="17"/>
      <c r="L28" s="37"/>
      <c r="M28" s="37"/>
      <c r="N28" s="37"/>
      <c r="O28" s="37"/>
      <c r="P28" s="37"/>
      <c r="Q28" s="37"/>
      <c r="R28" s="37"/>
      <c r="S28" s="37"/>
      <c r="T28" s="37"/>
      <c r="V28" s="47" t="str">
        <f t="shared" si="1"/>
        <v/>
      </c>
      <c r="W28" s="115"/>
      <c r="X28" s="100"/>
      <c r="Y28" s="2"/>
      <c r="Z28" s="57" t="str">
        <f>IF(ISBLANK(Z27),"",DATEDIF(Z27,$Z$1,"Y")&amp;"年"&amp;DATEDIF(Z27,$Z$1,"YM")&amp;"ヶ月")</f>
        <v>31年0ヶ月</v>
      </c>
    </row>
    <row r="29" spans="1:27">
      <c r="A29" s="2"/>
      <c r="B29" s="104" t="str">
        <f>書き込み用!B41</f>
        <v>青木穂高</v>
      </c>
      <c r="C29" s="107" t="str">
        <f>書き込み用!C41</f>
        <v>課長</v>
      </c>
      <c r="D29" s="44">
        <f>IF(Z29&gt;0,DATEDIF(Z29,$Z$1,"Y"),"")</f>
        <v>29</v>
      </c>
      <c r="E29" s="18" t="s">
        <v>3</v>
      </c>
      <c r="F29" s="113">
        <f>書き込み用!F41</f>
        <v>20</v>
      </c>
      <c r="G29" s="113">
        <f>書き込み用!G41</f>
        <v>20</v>
      </c>
      <c r="H29" s="113">
        <f>SUM(F29:G30)</f>
        <v>40</v>
      </c>
      <c r="I29" s="19" t="s">
        <v>22</v>
      </c>
      <c r="J29" s="12" t="str">
        <f>IF(ISBLANK(書き込み用!J41),"",書き込み用!J41)</f>
        <v/>
      </c>
      <c r="K29" s="14" t="str">
        <f>IF(ISBLANK(書き込み用!O41),"",書き込み用!O41)</f>
        <v/>
      </c>
      <c r="L29" s="34" t="str">
        <f>IF(ISBLANK(書き込み用!T41),"",書き込み用!T41)</f>
        <v/>
      </c>
      <c r="M29" s="34" t="str">
        <f>IF(ISBLANK(書き込み用!Y41),"",書き込み用!Y41)</f>
        <v/>
      </c>
      <c r="N29" s="34" t="str">
        <f>IF(ISBLANK(書き込み用!AD41),"",書き込み用!AD41)</f>
        <v/>
      </c>
      <c r="O29" s="34" t="str">
        <f>IF(ISBLANK(書き込み用!AI41),"",書き込み用!AI41)</f>
        <v/>
      </c>
      <c r="P29" s="34" t="str">
        <f>IF(ISBLANK(書き込み用!AN41),"",書き込み用!AN41)</f>
        <v/>
      </c>
      <c r="Q29" s="34" t="str">
        <f>IF(ISBLANK(書き込み用!AS41),"",書き込み用!AS41)</f>
        <v/>
      </c>
      <c r="R29" s="34" t="str">
        <f>IF(ISBLANK(書き込み用!AX41),"",書き込み用!AX41)</f>
        <v/>
      </c>
      <c r="S29" s="34" t="str">
        <f>IF(ISBLANK(書き込み用!BC41),"",書き込み用!BC41)</f>
        <v/>
      </c>
      <c r="T29" s="34" t="str">
        <f>IF(ISBLANK(書き込み用!BH41),"",書き込み用!BH41)</f>
        <v/>
      </c>
      <c r="U29" s="42" t="str">
        <f>IF(ISBLANK(書き込み用!BM41),"",書き込み用!BM41)</f>
        <v/>
      </c>
      <c r="V29" s="46" t="str">
        <f>IF(SUM(J29:U29)&gt;0,SUM(J29:U29),"")</f>
        <v/>
      </c>
      <c r="W29" s="113">
        <f>H29-SUM(J30:U30)</f>
        <v>40</v>
      </c>
      <c r="X29" s="98"/>
      <c r="Y29" s="2"/>
      <c r="Z29" s="21">
        <f>書き込み用!BV41</f>
        <v>32983</v>
      </c>
      <c r="AA29" t="str">
        <f>IF(W29=書き込み用!BS41,"","×")</f>
        <v/>
      </c>
    </row>
    <row r="30" spans="1:27">
      <c r="A30" s="2"/>
      <c r="B30" s="106"/>
      <c r="C30" s="109"/>
      <c r="D30" s="45">
        <f>IF(Z29&gt;0,DATEDIF(Z29,$Z$1,"YM"),"")</f>
        <v>11</v>
      </c>
      <c r="E30" s="1" t="s">
        <v>23</v>
      </c>
      <c r="F30" s="115"/>
      <c r="G30" s="115"/>
      <c r="H30" s="115"/>
      <c r="I30" s="20" t="s">
        <v>24</v>
      </c>
      <c r="J30" s="15"/>
      <c r="K30" s="17"/>
      <c r="L30" s="37"/>
      <c r="M30" s="37"/>
      <c r="N30" s="37"/>
      <c r="O30" s="37"/>
      <c r="P30" s="37"/>
      <c r="Q30" s="37"/>
      <c r="R30" s="37"/>
      <c r="S30" s="37"/>
      <c r="T30" s="37"/>
      <c r="V30" s="47" t="str">
        <f t="shared" si="1"/>
        <v/>
      </c>
      <c r="W30" s="115"/>
      <c r="X30" s="100"/>
      <c r="Y30" s="2"/>
      <c r="Z30" s="57" t="str">
        <f>IF(ISBLANK(Z29),"",DATEDIF(Z29,$Z$1,"Y")&amp;"年"&amp;DATEDIF(Z29,$Z$1,"YM")&amp;"ヶ月")</f>
        <v>29年11ヶ月</v>
      </c>
    </row>
    <row r="31" spans="1:27">
      <c r="A31" s="2"/>
      <c r="B31" s="104" t="str">
        <f>書き込み用!B44</f>
        <v>中村清美</v>
      </c>
      <c r="C31" s="107" t="str">
        <f>書き込み用!C44</f>
        <v>課長</v>
      </c>
      <c r="D31" s="44">
        <f>IF(Z31&gt;0,DATEDIF(Z31,$Z$1,"Y"),"")</f>
        <v>13</v>
      </c>
      <c r="E31" s="18" t="s">
        <v>3</v>
      </c>
      <c r="F31" s="113">
        <f>書き込み用!F44</f>
        <v>20</v>
      </c>
      <c r="G31" s="113">
        <f>書き込み用!G44</f>
        <v>20</v>
      </c>
      <c r="H31" s="113">
        <f>SUM(F31:G32)</f>
        <v>40</v>
      </c>
      <c r="I31" s="19" t="s">
        <v>22</v>
      </c>
      <c r="J31" s="12" t="str">
        <f>IF(ISBLANK(書き込み用!J44),"",書き込み用!J44)</f>
        <v/>
      </c>
      <c r="K31" s="14" t="str">
        <f>IF(ISBLANK(書き込み用!O44),"",書き込み用!O44)</f>
        <v/>
      </c>
      <c r="L31" s="34" t="str">
        <f>IF(ISBLANK(書き込み用!T44),"",書き込み用!T44)</f>
        <v/>
      </c>
      <c r="M31" s="34" t="str">
        <f>IF(ISBLANK(書き込み用!Y44),"",書き込み用!Y44)</f>
        <v/>
      </c>
      <c r="N31" s="34" t="str">
        <f>IF(ISBLANK(書き込み用!AD44),"",書き込み用!AD44)</f>
        <v/>
      </c>
      <c r="O31" s="34" t="str">
        <f>IF(ISBLANK(書き込み用!AI44),"",書き込み用!AI44)</f>
        <v/>
      </c>
      <c r="P31" s="34" t="str">
        <f>IF(ISBLANK(書き込み用!AN44),"",書き込み用!AN44)</f>
        <v/>
      </c>
      <c r="Q31" s="34" t="str">
        <f>IF(ISBLANK(書き込み用!AS44),"",書き込み用!AS44)</f>
        <v/>
      </c>
      <c r="R31" s="34" t="str">
        <f>IF(ISBLANK(書き込み用!AX44),"",書き込み用!AX44)</f>
        <v/>
      </c>
      <c r="S31" s="34" t="str">
        <f>IF(ISBLANK(書き込み用!BC44),"",書き込み用!BC44)</f>
        <v/>
      </c>
      <c r="T31" s="34" t="str">
        <f>IF(ISBLANK(書き込み用!BH44),"",書き込み用!BH44)</f>
        <v/>
      </c>
      <c r="U31" s="42" t="str">
        <f>IF(ISBLANK(書き込み用!BM44),"",書き込み用!BM44)</f>
        <v/>
      </c>
      <c r="V31" s="46" t="str">
        <f>IF(SUM(J31:U31)&gt;0,SUM(J31:U31),"")</f>
        <v/>
      </c>
      <c r="W31" s="113">
        <f>H31-SUM(J32:U32)</f>
        <v>40</v>
      </c>
      <c r="X31" s="98"/>
      <c r="Y31" s="2"/>
      <c r="Z31" s="21">
        <f>書き込み用!BV44</f>
        <v>39173</v>
      </c>
      <c r="AA31" t="str">
        <f>IF(W31=書き込み用!BS44,"","×")</f>
        <v/>
      </c>
    </row>
    <row r="32" spans="1:27">
      <c r="A32" s="2"/>
      <c r="B32" s="106"/>
      <c r="C32" s="109"/>
      <c r="D32" s="45">
        <f>IF(Z31&gt;0,DATEDIF(Z31,$Z$1,"YM"),"")</f>
        <v>0</v>
      </c>
      <c r="E32" s="1" t="s">
        <v>23</v>
      </c>
      <c r="F32" s="115"/>
      <c r="G32" s="115"/>
      <c r="H32" s="115"/>
      <c r="I32" s="20" t="s">
        <v>24</v>
      </c>
      <c r="J32" s="15"/>
      <c r="K32" s="17"/>
      <c r="L32" s="37"/>
      <c r="M32" s="37"/>
      <c r="N32" s="37"/>
      <c r="O32" s="37"/>
      <c r="P32" s="37"/>
      <c r="Q32" s="37"/>
      <c r="R32" s="37"/>
      <c r="S32" s="37"/>
      <c r="T32" s="37"/>
      <c r="V32" s="47" t="str">
        <f t="shared" si="0"/>
        <v/>
      </c>
      <c r="W32" s="115"/>
      <c r="X32" s="100"/>
      <c r="Y32" s="2"/>
      <c r="Z32" s="57" t="str">
        <f>IF(ISBLANK(Z31),"",DATEDIF(Z31,$Z$1,"Y")&amp;"年"&amp;DATEDIF(Z31,$Z$1,"YM")&amp;"ヶ月")</f>
        <v>13年0ヶ月</v>
      </c>
    </row>
    <row r="33" spans="1:27">
      <c r="A33" s="2"/>
      <c r="B33" s="104" t="str">
        <f>書き込み用!B47</f>
        <v>高橋章子</v>
      </c>
      <c r="C33" s="107" t="str">
        <f>書き込み用!C47</f>
        <v>契約社員</v>
      </c>
      <c r="D33" s="44">
        <f>IF(Z33&gt;0,DATEDIF(Z33,$Z$1,"Y"),"")</f>
        <v>2</v>
      </c>
      <c r="E33" s="18" t="s">
        <v>3</v>
      </c>
      <c r="F33" s="113">
        <f>書き込み用!F47</f>
        <v>0.5</v>
      </c>
      <c r="G33" s="113">
        <f>書き込み用!G47</f>
        <v>13</v>
      </c>
      <c r="H33" s="144">
        <f>SUM(F33:G34)</f>
        <v>13.5</v>
      </c>
      <c r="I33" s="19" t="s">
        <v>22</v>
      </c>
      <c r="J33" s="12" t="str">
        <f>IF(ISBLANK(書き込み用!J47),"",書き込み用!J47)</f>
        <v/>
      </c>
      <c r="K33" s="14" t="str">
        <f>IF(ISBLANK(書き込み用!O47),"",書き込み用!O47)</f>
        <v/>
      </c>
      <c r="L33" s="34" t="str">
        <f>IF(ISBLANK(書き込み用!T47),"",書き込み用!T47)</f>
        <v/>
      </c>
      <c r="M33" s="34" t="str">
        <f>IF(ISBLANK(書き込み用!Y47),"",書き込み用!Y47)</f>
        <v/>
      </c>
      <c r="N33" s="34" t="str">
        <f>IF(ISBLANK(書き込み用!AD47),"",書き込み用!AD47)</f>
        <v/>
      </c>
      <c r="O33" s="34" t="str">
        <f>IF(ISBLANK(書き込み用!AI47),"",書き込み用!AI47)</f>
        <v/>
      </c>
      <c r="P33" s="34" t="str">
        <f>IF(ISBLANK(書き込み用!AN47),"",書き込み用!AN47)</f>
        <v/>
      </c>
      <c r="Q33" s="34" t="str">
        <f>IF(ISBLANK(書き込み用!AS47),"",書き込み用!AS47)</f>
        <v/>
      </c>
      <c r="R33" s="34" t="str">
        <f>IF(ISBLANK(書き込み用!AX47),"",書き込み用!AX47)</f>
        <v/>
      </c>
      <c r="S33" s="34" t="str">
        <f>IF(ISBLANK(書き込み用!BC47),"",書き込み用!BC47)</f>
        <v/>
      </c>
      <c r="T33" s="34" t="str">
        <f>IF(ISBLANK(書き込み用!BH47),"",書き込み用!BH47)</f>
        <v/>
      </c>
      <c r="U33" s="42" t="str">
        <f>IF(ISBLANK(書き込み用!BM47),"",書き込み用!BM47)</f>
        <v/>
      </c>
      <c r="V33" s="46" t="str">
        <f>IF(SUM(J33:U33)&gt;0,SUM(J33:U33),"")</f>
        <v/>
      </c>
      <c r="W33" s="113">
        <f>H33-SUM(J34:U34)</f>
        <v>13.5</v>
      </c>
      <c r="X33" s="98"/>
      <c r="Y33" s="2"/>
      <c r="Z33" s="21">
        <f>書き込み用!BV47</f>
        <v>43191</v>
      </c>
      <c r="AA33" t="str">
        <f>IF(W33=書き込み用!BS47,"","×")</f>
        <v/>
      </c>
    </row>
    <row r="34" spans="1:27">
      <c r="A34" s="2"/>
      <c r="B34" s="106"/>
      <c r="C34" s="109"/>
      <c r="D34" s="45">
        <f>IF(Z33&gt;0,DATEDIF(Z33,$Z$1,"YM"),"")</f>
        <v>0</v>
      </c>
      <c r="E34" s="1" t="s">
        <v>23</v>
      </c>
      <c r="F34" s="115"/>
      <c r="G34" s="115"/>
      <c r="H34" s="145"/>
      <c r="I34" s="20" t="s">
        <v>24</v>
      </c>
      <c r="J34" s="15"/>
      <c r="K34" s="17"/>
      <c r="L34" s="38"/>
      <c r="M34" s="38"/>
      <c r="N34" s="38"/>
      <c r="O34" s="38"/>
      <c r="P34" s="38"/>
      <c r="Q34" s="38"/>
      <c r="R34" s="38"/>
      <c r="S34" s="38"/>
      <c r="T34" s="38"/>
      <c r="U34" s="35"/>
      <c r="V34" s="47" t="str">
        <f t="shared" si="0"/>
        <v/>
      </c>
      <c r="W34" s="115"/>
      <c r="X34" s="100"/>
      <c r="Y34" s="2"/>
      <c r="Z34" s="57" t="str">
        <f>IF(ISBLANK(Z33),"",DATEDIF(Z33,$Z$1,"Y")&amp;"年"&amp;DATEDIF(Z33,$Z$1,"YM")&amp;"ヶ月")</f>
        <v>2年0ヶ月</v>
      </c>
    </row>
    <row r="35" spans="1:27">
      <c r="A35" s="2"/>
      <c r="B35" s="104" t="str">
        <f>書き込み用!B50</f>
        <v>杉村淑人</v>
      </c>
      <c r="C35" s="107" t="str">
        <f>書き込み用!C50</f>
        <v>契約社員</v>
      </c>
      <c r="D35" s="44">
        <f>IF(Z35&gt;0,DATEDIF(Z35,$Z$1,"Y"),"")</f>
        <v>0</v>
      </c>
      <c r="E35" s="18" t="s">
        <v>3</v>
      </c>
      <c r="F35" s="113">
        <f>書き込み用!F50</f>
        <v>8.5</v>
      </c>
      <c r="G35" s="113">
        <f>書き込み用!G50</f>
        <v>12</v>
      </c>
      <c r="H35" s="113">
        <f>SUM(F35:G36)</f>
        <v>20.5</v>
      </c>
      <c r="I35" s="19" t="s">
        <v>22</v>
      </c>
      <c r="J35" s="12" t="e">
        <f>IF(ISBLANK(書き込み用!#REF!),"",書き込み用!#REF!)</f>
        <v>#REF!</v>
      </c>
      <c r="K35" s="14">
        <f>IF(ISBLANK(書き込み用!O50),"",書き込み用!O50)</f>
        <v>27</v>
      </c>
      <c r="L35" s="34">
        <f>IF(ISBLANK(書き込み用!T50),"",書き込み用!T50)</f>
        <v>28</v>
      </c>
      <c r="M35" s="34" t="str">
        <f>IF(ISBLANK(書き込み用!Y50),"",書き込み用!Y50)</f>
        <v/>
      </c>
      <c r="N35" s="34" t="str">
        <f>IF(ISBLANK(書き込み用!AD50),"",書き込み用!AD50)</f>
        <v/>
      </c>
      <c r="O35" s="34" t="str">
        <f>IF(ISBLANK(書き込み用!AI50),"",書き込み用!AI50)</f>
        <v/>
      </c>
      <c r="P35" s="34" t="str">
        <f>IF(ISBLANK(書き込み用!AN50),"",書き込み用!AN50)</f>
        <v/>
      </c>
      <c r="Q35" s="34" t="str">
        <f>IF(ISBLANK(書き込み用!AS50),"",書き込み用!AS50)</f>
        <v/>
      </c>
      <c r="R35" s="34" t="str">
        <f>IF(ISBLANK(書き込み用!AX50),"",書き込み用!AX50)</f>
        <v/>
      </c>
      <c r="S35" s="34" t="str">
        <f>IF(ISBLANK(書き込み用!BC50),"",書き込み用!BC50)</f>
        <v/>
      </c>
      <c r="T35" s="34" t="str">
        <f>IF(ISBLANK(書き込み用!BH50),"",書き込み用!BH50)</f>
        <v/>
      </c>
      <c r="U35" s="42" t="str">
        <f>IF(ISBLANK(書き込み用!BM50),"",書き込み用!BM50)</f>
        <v/>
      </c>
      <c r="V35" s="48" t="e">
        <f>IF(SUM(J35:U35)&gt;0,SUM(J35:U35),"")</f>
        <v>#REF!</v>
      </c>
      <c r="W35" s="113">
        <f>H35-SUM(J36:U36)</f>
        <v>20.5</v>
      </c>
      <c r="X35" s="98"/>
      <c r="Y35" s="2"/>
      <c r="Z35" s="21">
        <f>書き込み用!BV50</f>
        <v>43800</v>
      </c>
      <c r="AA35" t="str">
        <f>IF(W35=書き込み用!BS50,"","×")</f>
        <v>×</v>
      </c>
    </row>
    <row r="36" spans="1:27">
      <c r="A36" s="2"/>
      <c r="B36" s="106"/>
      <c r="C36" s="109"/>
      <c r="D36" s="45">
        <f>IF(Z35&gt;0,DATEDIF(Z35,$Z$1,"YM"),"")</f>
        <v>4</v>
      </c>
      <c r="E36" s="1" t="s">
        <v>23</v>
      </c>
      <c r="F36" s="115"/>
      <c r="G36" s="115"/>
      <c r="H36" s="115"/>
      <c r="I36" s="20" t="s">
        <v>24</v>
      </c>
      <c r="J36" s="15"/>
      <c r="K36" s="17"/>
      <c r="L36" s="38"/>
      <c r="M36" s="38"/>
      <c r="N36" s="38"/>
      <c r="O36" s="38"/>
      <c r="P36" s="38"/>
      <c r="Q36" s="38"/>
      <c r="R36" s="38"/>
      <c r="S36" s="38"/>
      <c r="T36" s="38"/>
      <c r="U36" s="35"/>
      <c r="V36" s="49" t="str">
        <f t="shared" si="0"/>
        <v/>
      </c>
      <c r="W36" s="115"/>
      <c r="X36" s="100"/>
      <c r="Y36" s="2"/>
      <c r="Z36" s="57" t="str">
        <f>IF(ISBLANK(Z35),"",DATEDIF(Z35,$Z$1,"Y")&amp;"年"&amp;DATEDIF(Z35,$Z$1,"YM")&amp;"ヶ月")</f>
        <v>0年4ヶ月</v>
      </c>
    </row>
    <row r="37" spans="1:27">
      <c r="A37" s="2"/>
      <c r="B37" s="104" t="str">
        <f>書き込み用!B53</f>
        <v>松浦正明</v>
      </c>
      <c r="C37" s="107" t="str">
        <f>書き込み用!C53</f>
        <v>契約社員</v>
      </c>
      <c r="D37" s="44" t="e">
        <f>IF(Z37&gt;0,DATEDIF(Z37,$Z$1,"Y"),"")</f>
        <v>#NUM!</v>
      </c>
      <c r="E37" s="18" t="s">
        <v>3</v>
      </c>
      <c r="F37" s="113">
        <f>書き込み用!F53</f>
        <v>7</v>
      </c>
      <c r="G37" s="113">
        <f>書き込み用!G53</f>
        <v>11</v>
      </c>
      <c r="H37" s="113">
        <f>SUM(F37:G38)</f>
        <v>18</v>
      </c>
      <c r="I37" s="19" t="s">
        <v>22</v>
      </c>
      <c r="J37" s="12" t="str">
        <f>IF(ISBLANK(書き込み用!J53),"",書き込み用!J53)</f>
        <v/>
      </c>
      <c r="K37" s="14">
        <f>IF(ISBLANK(書き込み用!O53),"",書き込み用!O53)</f>
        <v>1</v>
      </c>
      <c r="L37" s="13" t="str">
        <f>IF(ISBLANK(書き込み用!T53),"",書き込み用!T53)</f>
        <v/>
      </c>
      <c r="M37" s="13">
        <f>IF(ISBLANK(書き込み用!Y53),"",書き込み用!Y53)</f>
        <v>1</v>
      </c>
      <c r="N37" s="13" t="str">
        <f>IF(ISBLANK(書き込み用!AD53),"",書き込み用!AD53)</f>
        <v/>
      </c>
      <c r="O37" s="13" t="str">
        <f>IF(ISBLANK(書き込み用!AI53),"",書き込み用!AI53)</f>
        <v/>
      </c>
      <c r="P37" s="13" t="str">
        <f>IF(ISBLANK(書き込み用!AN53),"",書き込み用!AN53)</f>
        <v/>
      </c>
      <c r="Q37" s="13" t="str">
        <f>IF(ISBLANK(書き込み用!AS53),"",書き込み用!AS53)</f>
        <v/>
      </c>
      <c r="R37" s="13" t="str">
        <f>IF(ISBLANK(書き込み用!AX53),"",書き込み用!AX53)</f>
        <v/>
      </c>
      <c r="S37" s="13" t="str">
        <f>IF(ISBLANK(書き込み用!BC53),"",書き込み用!BC53)</f>
        <v/>
      </c>
      <c r="T37" s="13" t="str">
        <f>IF(ISBLANK(書き込み用!BH53),"",書き込み用!BH53)</f>
        <v/>
      </c>
      <c r="U37" s="39"/>
      <c r="V37" s="46">
        <f>IF(SUM(J37:U37)&gt;0,SUM(J37:U37),"")</f>
        <v>2</v>
      </c>
      <c r="W37" s="113">
        <f>H37-SUM(J38:U38)</f>
        <v>18</v>
      </c>
      <c r="X37" s="98"/>
      <c r="Y37" s="2"/>
      <c r="Z37" s="21">
        <f>書き込み用!BV53</f>
        <v>44044</v>
      </c>
      <c r="AA37" t="str">
        <f>IF(W37=書き込み用!BS53,"","×")</f>
        <v/>
      </c>
    </row>
    <row r="38" spans="1:27">
      <c r="A38" s="2"/>
      <c r="B38" s="106"/>
      <c r="C38" s="109"/>
      <c r="D38" s="45" t="e">
        <f>IF(Z37&gt;0,DATEDIF(Z37,$Z$1,"YM"),"")</f>
        <v>#NUM!</v>
      </c>
      <c r="E38" s="1" t="s">
        <v>23</v>
      </c>
      <c r="F38" s="115"/>
      <c r="G38" s="115"/>
      <c r="H38" s="115"/>
      <c r="I38" s="20" t="s">
        <v>24</v>
      </c>
      <c r="J38" s="15"/>
      <c r="K38" s="17"/>
      <c r="L38" s="16"/>
      <c r="M38" s="16"/>
      <c r="N38" s="16"/>
      <c r="O38" s="16"/>
      <c r="P38" s="16"/>
      <c r="Q38" s="16"/>
      <c r="R38" s="16"/>
      <c r="S38" s="16"/>
      <c r="T38" s="16"/>
      <c r="U38" s="41"/>
      <c r="V38" s="47" t="str">
        <f>IF(SUM(J38:U38)&gt;0,SUM(J38:U38),"")</f>
        <v/>
      </c>
      <c r="W38" s="115"/>
      <c r="X38" s="100"/>
      <c r="Y38" s="2"/>
      <c r="Z38" s="57" t="e">
        <f>IF(ISBLANK(Z37),"",DATEDIF(Z37,$Z$1,"Y")&amp;"年"&amp;DATEDIF(Z37,$Z$1,"YM")&amp;"ヶ月")</f>
        <v>#NUM!</v>
      </c>
    </row>
    <row r="39" spans="1:27">
      <c r="A39" s="2"/>
      <c r="B39" s="104">
        <f>書き込み用!B56</f>
        <v>0</v>
      </c>
      <c r="C39" s="107">
        <f>書き込み用!C56</f>
        <v>0</v>
      </c>
      <c r="D39" s="44" t="str">
        <f>IF(Z39&gt;0,DATEDIF(Z39,$Z$1,"Y"),"")</f>
        <v/>
      </c>
      <c r="E39" s="18" t="s">
        <v>3</v>
      </c>
      <c r="F39" s="113">
        <f>書き込み用!F56</f>
        <v>0</v>
      </c>
      <c r="G39" s="113">
        <f>書き込み用!G56</f>
        <v>0</v>
      </c>
      <c r="H39" s="113">
        <f>SUM(F39:G40)</f>
        <v>0</v>
      </c>
      <c r="I39" s="19" t="s">
        <v>22</v>
      </c>
      <c r="J39" s="12" t="str">
        <f>IF(ISBLANK(書き込み用!J56),"",書き込み用!J56)</f>
        <v/>
      </c>
      <c r="K39" s="14" t="str">
        <f>IF(ISBLANK(書き込み用!O56),"",書き込み用!O56)</f>
        <v/>
      </c>
      <c r="L39" s="34" t="str">
        <f>IF(ISBLANK(書き込み用!T56),"",書き込み用!T56)</f>
        <v/>
      </c>
      <c r="M39" s="34" t="str">
        <f>IF(ISBLANK(書き込み用!Y56),"",書き込み用!Y56)</f>
        <v/>
      </c>
      <c r="N39" s="34" t="str">
        <f>IF(ISBLANK(書き込み用!AD56),"",書き込み用!AD56)</f>
        <v/>
      </c>
      <c r="O39" s="34" t="str">
        <f>IF(ISBLANK(書き込み用!AI56),"",書き込み用!AI56)</f>
        <v/>
      </c>
      <c r="P39" s="34" t="str">
        <f>IF(ISBLANK(書き込み用!AN56),"",書き込み用!AN56)</f>
        <v/>
      </c>
      <c r="Q39" s="34" t="str">
        <f>IF(ISBLANK(書き込み用!AS56),"",書き込み用!AS56)</f>
        <v/>
      </c>
      <c r="R39" s="34" t="str">
        <f>IF(ISBLANK(書き込み用!AX56),"",書き込み用!AX56)</f>
        <v/>
      </c>
      <c r="S39" s="34" t="str">
        <f>IF(ISBLANK(書き込み用!BC56),"",書き込み用!BC56)</f>
        <v/>
      </c>
      <c r="T39" s="34" t="str">
        <f>IF(ISBLANK(書き込み用!BH56),"",書き込み用!BH56)</f>
        <v/>
      </c>
      <c r="U39" s="42" t="str">
        <f>IF(ISBLANK(書き込み用!BM56),"",書き込み用!BM56)</f>
        <v/>
      </c>
      <c r="V39" s="46" t="str">
        <f>IF(SUM(J39:U39)&gt;0,SUM(J39:U39),"")</f>
        <v/>
      </c>
      <c r="W39" s="113">
        <f>H39-SUM(J40:U40)</f>
        <v>0</v>
      </c>
      <c r="X39" s="98"/>
      <c r="Y39" s="2"/>
      <c r="Z39" s="21">
        <f>書き込み用!BV56</f>
        <v>0</v>
      </c>
      <c r="AA39" t="str">
        <f>IF(W39=書き込み用!BS56,"","×")</f>
        <v/>
      </c>
    </row>
    <row r="40" spans="1:27">
      <c r="A40" s="2"/>
      <c r="B40" s="106"/>
      <c r="C40" s="109"/>
      <c r="D40" s="45" t="str">
        <f>IF(Z39&gt;0,DATEDIF(Z39,$Z$1,"YM"),"")</f>
        <v/>
      </c>
      <c r="E40" s="1" t="s">
        <v>23</v>
      </c>
      <c r="F40" s="115"/>
      <c r="G40" s="115"/>
      <c r="H40" s="115"/>
      <c r="I40" s="20" t="s">
        <v>24</v>
      </c>
      <c r="J40" s="15"/>
      <c r="K40" s="17"/>
      <c r="L40" s="38"/>
      <c r="M40" s="38"/>
      <c r="N40" s="38"/>
      <c r="O40" s="38"/>
      <c r="P40" s="38"/>
      <c r="Q40" s="38"/>
      <c r="R40" s="38"/>
      <c r="S40" s="38"/>
      <c r="T40" s="38"/>
      <c r="U40" s="35"/>
      <c r="V40" s="47" t="str">
        <f>IF(SUM(J40:U40)&gt;0,SUM(J40:U40),"")</f>
        <v/>
      </c>
      <c r="W40" s="115"/>
      <c r="X40" s="100"/>
      <c r="Y40" s="2"/>
      <c r="Z40" s="57" t="str">
        <f>IF(ISBLANK(Z39),"",DATEDIF(Z39,$Z$1,"Y")&amp;"年"&amp;DATEDIF(Z39,$Z$1,"YM")&amp;"ヶ月")</f>
        <v>120年3ヶ月</v>
      </c>
    </row>
    <row r="41" spans="1:27">
      <c r="A41" s="2"/>
      <c r="B41" s="2"/>
      <c r="C41" s="2"/>
      <c r="D41" s="2"/>
      <c r="E41" s="2"/>
      <c r="F41" s="5"/>
      <c r="G41" s="5"/>
      <c r="H41" s="5"/>
      <c r="I41" s="2"/>
      <c r="J41" s="2"/>
      <c r="K41" s="2"/>
      <c r="L41" s="2"/>
      <c r="M41" s="2"/>
      <c r="N41" s="2"/>
      <c r="O41" s="2"/>
      <c r="P41" s="2"/>
      <c r="Q41" s="2"/>
      <c r="R41" s="2"/>
      <c r="S41" s="50"/>
      <c r="T41" s="2" t="s">
        <v>112</v>
      </c>
      <c r="U41" s="2"/>
      <c r="V41" s="2"/>
      <c r="W41" s="2"/>
      <c r="X41" s="5"/>
      <c r="Y41" s="2"/>
    </row>
    <row r="42" spans="1:27">
      <c r="V42" s="2"/>
    </row>
    <row r="44" spans="1:27">
      <c r="J44" s="24">
        <f>J4</f>
        <v>4</v>
      </c>
      <c r="K44" s="24">
        <f t="shared" ref="K44" si="2">K4</f>
        <v>5</v>
      </c>
      <c r="L44" s="24">
        <f t="shared" ref="L44:R44" si="3">L4</f>
        <v>6</v>
      </c>
      <c r="M44" s="24">
        <f t="shared" si="3"/>
        <v>7</v>
      </c>
      <c r="N44" s="24">
        <f t="shared" si="3"/>
        <v>8</v>
      </c>
      <c r="O44" s="24">
        <f t="shared" si="3"/>
        <v>9</v>
      </c>
      <c r="P44" s="24">
        <f t="shared" si="3"/>
        <v>10</v>
      </c>
      <c r="Q44" s="24">
        <f t="shared" si="3"/>
        <v>11</v>
      </c>
      <c r="R44" s="24">
        <f t="shared" si="3"/>
        <v>12</v>
      </c>
      <c r="S44" s="24">
        <f>S4+12</f>
        <v>13</v>
      </c>
      <c r="T44" s="24">
        <f>T4+12</f>
        <v>14</v>
      </c>
      <c r="U44" s="24">
        <f>U4+12</f>
        <v>15</v>
      </c>
    </row>
  </sheetData>
  <mergeCells count="129">
    <mergeCell ref="B29:B30"/>
    <mergeCell ref="C29:C30"/>
    <mergeCell ref="F29:F30"/>
    <mergeCell ref="G29:G30"/>
    <mergeCell ref="H29:H30"/>
    <mergeCell ref="W29:W30"/>
    <mergeCell ref="X29:X30"/>
    <mergeCell ref="B25:B26"/>
    <mergeCell ref="C25:C26"/>
    <mergeCell ref="F25:F26"/>
    <mergeCell ref="G25:G26"/>
    <mergeCell ref="H25:H26"/>
    <mergeCell ref="W25:W26"/>
    <mergeCell ref="X25:X26"/>
    <mergeCell ref="B27:B28"/>
    <mergeCell ref="C27:C28"/>
    <mergeCell ref="F27:F28"/>
    <mergeCell ref="G27:G28"/>
    <mergeCell ref="H27:H28"/>
    <mergeCell ref="W27:W28"/>
    <mergeCell ref="X27:X28"/>
    <mergeCell ref="C23:C24"/>
    <mergeCell ref="C31:C32"/>
    <mergeCell ref="C33:C34"/>
    <mergeCell ref="C39:C40"/>
    <mergeCell ref="C35:C36"/>
    <mergeCell ref="T3:U3"/>
    <mergeCell ref="A1:X1"/>
    <mergeCell ref="B5:B6"/>
    <mergeCell ref="F5:F6"/>
    <mergeCell ref="G5:G6"/>
    <mergeCell ref="X5:X6"/>
    <mergeCell ref="D4:E4"/>
    <mergeCell ref="B37:B38"/>
    <mergeCell ref="F37:F38"/>
    <mergeCell ref="G37:G38"/>
    <mergeCell ref="H5:H6"/>
    <mergeCell ref="H37:H38"/>
    <mergeCell ref="W37:W38"/>
    <mergeCell ref="W5:W6"/>
    <mergeCell ref="C5:C6"/>
    <mergeCell ref="C37:C38"/>
    <mergeCell ref="B7:B8"/>
    <mergeCell ref="F7:F8"/>
    <mergeCell ref="G7:G8"/>
    <mergeCell ref="B9:B10"/>
    <mergeCell ref="F9:F10"/>
    <mergeCell ref="G9:G10"/>
    <mergeCell ref="W7:W8"/>
    <mergeCell ref="C7:C8"/>
    <mergeCell ref="C9:C10"/>
    <mergeCell ref="B11:B12"/>
    <mergeCell ref="F11:F12"/>
    <mergeCell ref="G11:G12"/>
    <mergeCell ref="H9:H10"/>
    <mergeCell ref="X9:X10"/>
    <mergeCell ref="H11:H12"/>
    <mergeCell ref="X11:X12"/>
    <mergeCell ref="W11:W12"/>
    <mergeCell ref="W9:W10"/>
    <mergeCell ref="C11:C12"/>
    <mergeCell ref="C13:C14"/>
    <mergeCell ref="H7:H8"/>
    <mergeCell ref="X7:X8"/>
    <mergeCell ref="G21:G22"/>
    <mergeCell ref="C17:C18"/>
    <mergeCell ref="C19:C20"/>
    <mergeCell ref="H15:H16"/>
    <mergeCell ref="X15:X16"/>
    <mergeCell ref="W15:W16"/>
    <mergeCell ref="B13:B14"/>
    <mergeCell ref="B15:B16"/>
    <mergeCell ref="F15:F16"/>
    <mergeCell ref="G15:G16"/>
    <mergeCell ref="F13:F14"/>
    <mergeCell ref="H13:H14"/>
    <mergeCell ref="X13:X14"/>
    <mergeCell ref="C15:C16"/>
    <mergeCell ref="C21:C22"/>
    <mergeCell ref="G13:G14"/>
    <mergeCell ref="W13:W14"/>
    <mergeCell ref="G39:G40"/>
    <mergeCell ref="H23:H24"/>
    <mergeCell ref="X23:X24"/>
    <mergeCell ref="B23:B24"/>
    <mergeCell ref="F23:F24"/>
    <mergeCell ref="G23:G24"/>
    <mergeCell ref="W17:W18"/>
    <mergeCell ref="W19:W20"/>
    <mergeCell ref="W21:W22"/>
    <mergeCell ref="W23:W24"/>
    <mergeCell ref="H17:H18"/>
    <mergeCell ref="X17:X18"/>
    <mergeCell ref="H19:H20"/>
    <mergeCell ref="X19:X20"/>
    <mergeCell ref="B17:B18"/>
    <mergeCell ref="F17:F18"/>
    <mergeCell ref="G17:G18"/>
    <mergeCell ref="H21:H22"/>
    <mergeCell ref="X21:X22"/>
    <mergeCell ref="B19:B20"/>
    <mergeCell ref="F19:F20"/>
    <mergeCell ref="G19:G20"/>
    <mergeCell ref="B21:B22"/>
    <mergeCell ref="F21:F22"/>
    <mergeCell ref="X37:X38"/>
    <mergeCell ref="H35:H36"/>
    <mergeCell ref="X35:X36"/>
    <mergeCell ref="B35:B36"/>
    <mergeCell ref="F35:F36"/>
    <mergeCell ref="G35:G36"/>
    <mergeCell ref="W31:W32"/>
    <mergeCell ref="W33:W34"/>
    <mergeCell ref="W39:W40"/>
    <mergeCell ref="W35:W36"/>
    <mergeCell ref="H31:H32"/>
    <mergeCell ref="X31:X32"/>
    <mergeCell ref="H33:H34"/>
    <mergeCell ref="X33:X34"/>
    <mergeCell ref="B31:B32"/>
    <mergeCell ref="F31:F32"/>
    <mergeCell ref="G31:G32"/>
    <mergeCell ref="H39:H40"/>
    <mergeCell ref="X39:X40"/>
    <mergeCell ref="B33:B34"/>
    <mergeCell ref="F33:F34"/>
    <mergeCell ref="G33:G34"/>
    <mergeCell ref="B39:B40"/>
    <mergeCell ref="F39:F40"/>
  </mergeCells>
  <phoneticPr fontId="1"/>
  <conditionalFormatting sqref="J4:U4">
    <cfRule type="expression" dxfId="1" priority="70">
      <formula>J$44&lt;$AB$3</formula>
    </cfRule>
  </conditionalFormatting>
  <conditionalFormatting sqref="J39:U39 J37:U37 J9:U9 J13:U13 J17:U17 J31:U31 J5:U5 J7:U7 J11:U11 J15:U15 J19:U19 J21:U21 J23:U23 J25:U25 J27:U27 J29:U29 J33:U33 J35:U35">
    <cfRule type="expression" dxfId="0" priority="71">
      <formula>J$44&lt;$AB$3</formula>
    </cfRule>
  </conditionalFormatting>
  <pageMargins left="0.47" right="0.12" top="0.65" bottom="0.44" header="0.36" footer="0.23"/>
  <pageSetup paperSize="9" scale="99" orientation="landscape" r:id="rId1"/>
  <headerFooter alignWithMargins="0"/>
  <ignoredErrors>
    <ignoredError sqref="D35 D22:D23 D20:D21 D6 D7 D8:D9 D10:D11 D12:D13 D14:D15 D16:D17 D18:D19 D24:D25 D26:D27 D28:D29 D30:D31 D32:D33 D34"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heetViews>
  <sheetFormatPr defaultRowHeight="13.5"/>
  <sheetData/>
  <phoneticPr fontId="1"/>
  <pageMargins left="0.75" right="0.75" top="1" bottom="1" header="0.51200000000000001" footer="0.5120000000000000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3.5"/>
  <sheetData/>
  <phoneticPr fontId="1"/>
  <pageMargins left="0.75" right="0.75" top="1" bottom="1" header="0.51200000000000001" footer="0.5120000000000000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22E8A0815319AD46872055B79B938743" ma:contentTypeVersion="6" ma:contentTypeDescription="新しいドキュメントを作成します。" ma:contentTypeScope="" ma:versionID="707089bd82f0734694e2ad6568e2a064">
  <xsd:schema xmlns:xsd="http://www.w3.org/2001/XMLSchema" xmlns:xs="http://www.w3.org/2001/XMLSchema" xmlns:p="http://schemas.microsoft.com/office/2006/metadata/properties" xmlns:ns2="13cbbdc7-e1fa-4038-a17f-35d90c0d0f96" targetNamespace="http://schemas.microsoft.com/office/2006/metadata/properties" ma:root="true" ma:fieldsID="91440bf59bfa7442e0cfdbe7dfbcd868" ns2:_="">
    <xsd:import namespace="13cbbdc7-e1fa-4038-a17f-35d90c0d0f9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cbbdc7-e1fa-4038-a17f-35d90c0d0f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E292260-7B47-4E86-9702-0D79F834CBB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cbbdc7-e1fa-4038-a17f-35d90c0d0f9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13222E2-552D-4624-AB82-098F68E12008}">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13cbbdc7-e1fa-4038-a17f-35d90c0d0f96"/>
    <ds:schemaRef ds:uri="http://www.w3.org/XML/1998/namespace"/>
    <ds:schemaRef ds:uri="http://purl.org/dc/dcmitype/"/>
  </ds:schemaRefs>
</ds:datastoreItem>
</file>

<file path=customXml/itemProps3.xml><?xml version="1.0" encoding="utf-8"?>
<ds:datastoreItem xmlns:ds="http://schemas.openxmlformats.org/officeDocument/2006/customXml" ds:itemID="{01D18393-81B2-4C39-8A7D-83A25C6A7AF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3</vt:i4>
      </vt:variant>
    </vt:vector>
  </HeadingPairs>
  <TitlesOfParts>
    <vt:vector size="8" baseType="lpstr">
      <vt:lpstr>書き込み用</vt:lpstr>
      <vt:lpstr>書き込み用 (見本)</vt:lpstr>
      <vt:lpstr>年休管理簿</vt:lpstr>
      <vt:lpstr>Sheet2</vt:lpstr>
      <vt:lpstr>Sheet3</vt:lpstr>
      <vt:lpstr>書き込み用!Print_Area</vt:lpstr>
      <vt:lpstr>'書き込み用 (見本)'!Print_Area</vt:lpstr>
      <vt:lpstr>年休管理簿!Print_Area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年次有給休暇管理簿</dc:title>
  <dc:subject/>
  <dc:creator>ai</dc:creator>
  <cp:keywords/>
  <dc:description/>
  <cp:lastModifiedBy>Windows ユーザー</cp:lastModifiedBy>
  <cp:revision/>
  <cp:lastPrinted>2021-04-21T08:14:32Z</cp:lastPrinted>
  <dcterms:created xsi:type="dcterms:W3CDTF">2005-03-29T02:52:30Z</dcterms:created>
  <dcterms:modified xsi:type="dcterms:W3CDTF">2021-04-23T09:36:05Z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0x01010022E8A0815319AD46872055B79B938743</vt:lpwstr>
  </property>
</Properties>
</file>